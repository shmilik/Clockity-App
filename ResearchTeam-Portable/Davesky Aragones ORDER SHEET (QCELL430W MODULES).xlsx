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eorders\WESCO\"/>
    </mc:Choice>
  </mc:AlternateContent>
  <xr:revisionPtr revIDLastSave="0" documentId="8_{06DB28A8-89F8-449E-9AD0-046EF51F41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Order Sheet" sheetId="5" r:id="rId2"/>
    <sheet name="Product List" sheetId="3" state="hidden" r:id="rId3"/>
    <sheet name="Worksheet" sheetId="8" state="hidden" r:id="rId4"/>
  </sheets>
  <definedNames>
    <definedName name="_xlnm._FilterDatabase" localSheetId="2" hidden="1">'Product List'!$A$1:$A$2090</definedName>
    <definedName name="AGSMS">'Product List'!$C$2180</definedName>
    <definedName name="AMWTH">'Product List'!$D$2180</definedName>
    <definedName name="APTOS">'Product List'!$E$2180:$E$2182</definedName>
    <definedName name="ARL">'Product List'!$F$2180:$F$2247</definedName>
    <definedName name="AZTCW">'Product List'!$G$2180</definedName>
    <definedName name="BLINE">'Product List'!$H$2180:$H$2185</definedName>
    <definedName name="BPT">'Product List'!$I$2180:$I$2222</definedName>
    <definedName name="BUR">'Product List'!$J$2180:$J$2188</definedName>
    <definedName name="BUSS">'Product List'!$K$2180</definedName>
    <definedName name="CASOL">'Product List'!$L$2180:$L$2185</definedName>
    <definedName name="CHEML">'Product List'!$M$2180:$M$2187</definedName>
    <definedName name="Code">'Product List'!$A$2180:$Y$2337</definedName>
    <definedName name="COND">'Product List'!$N$2180:$N$2184</definedName>
    <definedName name="CONDR">'Product List'!$O$2180:$O$2183</definedName>
    <definedName name="CORRUBRACKET">'Product List'!$BX$2324:$BX$2337</definedName>
    <definedName name="CPAWS">'Product List'!$P$2180:$P$2200</definedName>
    <definedName name="CTEED">'Product List'!$Q$2180:$Q$2181</definedName>
    <definedName name="CULLY">'Product List'!$R$2180</definedName>
    <definedName name="DIXTI">'Product List'!$S$2180:$S$2181</definedName>
    <definedName name="DOT">'Product List'!$T$2180:$T$2181</definedName>
    <definedName name="EATON">'Product List'!$U$2180:$U$2259</definedName>
    <definedName name="ECOBE">'Product List'!$V$2180</definedName>
    <definedName name="ECOSO">'Product List'!$W$2180:$W$2183</definedName>
    <definedName name="EDF">'Product List'!$X$2180:$X$2191</definedName>
    <definedName name="ENP">'Product List'!$Y$2180:$Y$2234</definedName>
    <definedName name="EVRST">'Product List'!$Z$2180:$Z$2201</definedName>
    <definedName name="EZSLR">'Product List'!$AA$2180:$AA$2182</definedName>
    <definedName name="FAST">'Product List'!$AB$2180:$AB$2185</definedName>
    <definedName name="FLEX">'Product List'!$AC$2180:$AC$2189</definedName>
    <definedName name="FRANK">'Product List'!$AD$2180:$AD$2183</definedName>
    <definedName name="FRZ">'Product List'!#REF!</definedName>
    <definedName name="G10.C__415W_BLK_132C_32MM__32">'Order Sheet'!$D$12</definedName>
    <definedName name="GALV">'Product List'!$AE$2180:$AE$2181</definedName>
    <definedName name="GED">'Product List'!$AF$2180:$AF$2187</definedName>
    <definedName name="GENRC">'Product List'!$AG$2180:$AG$2204</definedName>
    <definedName name="GEOC">'Product List'!$AH$2180:$AH$2183</definedName>
    <definedName name="GREAV">'Product List'!$AI$2180:$AI$2182</definedName>
    <definedName name="HEYCO">'Product List'!$AJ$2180:$AJ$2190</definedName>
    <definedName name="HYPRE">'Product List'!#REF!</definedName>
    <definedName name="HYUND">'Product List'!$AK$2180:$AK$2183</definedName>
    <definedName name="IDEAL">'Product List'!$AL$2180:$AL$2193</definedName>
    <definedName name="ILSCO">'Product List'!$AM$2180:$AM$2185</definedName>
    <definedName name="IMO">'Product List'!$AN$2180:$AN$2181</definedName>
    <definedName name="IRIDG">'Product List'!$AO$2180:$AO$2290</definedName>
    <definedName name="JASOL">'Product List'!$AP$2180</definedName>
    <definedName name="JINKO">'Product List'!$AQ$2180:$AQ$2183</definedName>
    <definedName name="KLEIN">'Product List'!$AR$2180:$AR$2219</definedName>
    <definedName name="LF">'Product List'!$AS$2180:$AS$2195</definedName>
    <definedName name="LFUSE">'Product List'!$AS$2180:$AS$2200</definedName>
    <definedName name="LGCHE">'Product List'!$AT$2180:$AT$2181</definedName>
    <definedName name="LGSOL">'Product List'!$AU$2180:$AU$2183</definedName>
    <definedName name="LITHN">'Product List'!$AV$2180:$AV$2183</definedName>
    <definedName name="LLH">'Product List'!#REF!</definedName>
    <definedName name="LONGI">'Product List'!$AW$2180:$AW$2181</definedName>
    <definedName name="LUMI">'Product List'!$AX$2180:$AX$2181</definedName>
    <definedName name="MAXON">'Product List'!$AY$2180</definedName>
    <definedName name="MERSN">'Product List'!$AZ$2180:$AZ$2194</definedName>
    <definedName name="MIL">'Product List'!$BA$2180:$BA$2189</definedName>
    <definedName name="MILW">'Product List'!$BB$2180:$BB$2211</definedName>
    <definedName name="MISC.">'Product List'!$BC$2180:$BC$2181</definedName>
    <definedName name="MISIO">'Product List'!$BD$2180:$BD$2182</definedName>
    <definedName name="MITRX">'Product List'!$BE$2180:$BE$2182</definedName>
    <definedName name="MULTI">'Product List'!$BF$2180:$BF$2185</definedName>
    <definedName name="NEP">'Product List'!$BG$2180:$BG$2199</definedName>
    <definedName name="NSI">'Product List'!$BH$2180:$BH$2199</definedName>
    <definedName name="OMGIN">'Product List'!$BI$2180</definedName>
    <definedName name="PANAS">'Product List'!$BJ$2180:$BJ$2181</definedName>
    <definedName name="PECO">'Product List'!$BK$2180:$BK$2191</definedName>
    <definedName name="PHIONO">'Product List'!$BL$2180</definedName>
    <definedName name="PRIOR">'Product List'!$BM$2180:$BM$2184</definedName>
    <definedName name="PVC">'Product List'!$BN$2180:$BN$2260</definedName>
    <definedName name="PVLBL">'Product List'!$BO$2180:$BO$2257</definedName>
    <definedName name="Q.PEAK_DUO_BLK_ML_G10.C__415">'Order Sheet'!$C$12</definedName>
    <definedName name="QCELL">'Product List'!$BP$2180:$BP$2200</definedName>
    <definedName name="RACKA">'Product List'!#REF!</definedName>
    <definedName name="RECSO">'Product List'!$BQ$2180:$BQ$2185</definedName>
    <definedName name="RFTCH">'Product List'!$BR$2180:$BR$2182</definedName>
    <definedName name="S4A">'Product List'!$BS$2180</definedName>
    <definedName name="S5_">'Product List'!$BT$2180:$BT$2198</definedName>
    <definedName name="SATIC">'Product List'!$BU$2180</definedName>
    <definedName name="SCHSO">'Product List'!$BV$2180</definedName>
    <definedName name="SENSE">'Product List'!$BW$2180</definedName>
    <definedName name="SIEM">'Product List'!$BX$2180:$BX$2193</definedName>
    <definedName name="SILFB">'Product List'!$BY$2180:$BY$2184</definedName>
    <definedName name="SMA">'Product List'!$BZ$2180</definedName>
    <definedName name="SNRAC">'Product List'!$CA$2180:$CA$2208</definedName>
    <definedName name="SOLAD">'Product List'!$CB$2180:$CB$2183</definedName>
    <definedName name="SOLAK">'Product List'!$CC$2180:$CC$2182</definedName>
    <definedName name="SOLEC">'Product List'!$CD$2180</definedName>
    <definedName name="SOLED">'Product List'!$CE$2180:$CE$2215</definedName>
    <definedName name="SOLIA">'Product List'!$CF$2180:$CF$2181</definedName>
    <definedName name="SOLTC">'Product List'!$CG$2180:$CG$2181</definedName>
    <definedName name="SPAN">'Product List'!$CH$2180</definedName>
    <definedName name="SQD">'Product List'!$CI$2180:$CI$2239</definedName>
    <definedName name="STACK">'Product List'!$CJ$2180:$CJ$2184</definedName>
    <definedName name="STORZ">'Product List'!$CK$2180:$CK$2183</definedName>
    <definedName name="SUNGR">'Product List'!$CL$2180:$CL$2181</definedName>
    <definedName name="SUNMO">'Product List'!$CM$2180:$CM$2228</definedName>
    <definedName name="SWIRE">'Product List'!$CN$2180:$CN$2288</definedName>
    <definedName name="TB">'Product List'!$CO$2180:$CO$2181</definedName>
    <definedName name="TCP">'Product List'!#REF!</definedName>
    <definedName name="TIGO">'Product List'!$CP$2180:$CP$2185</definedName>
    <definedName name="TRINA">'Product List'!$CQ$2180:$CQ$2184</definedName>
    <definedName name="TYTON">'Product List'!$CR$2180:$CR$2181</definedName>
    <definedName name="ULINE">'Product List'!$CS$2180:$CS$2184</definedName>
    <definedName name="UNIRC">'Product List'!$CT$2180:$CT$2250</definedName>
    <definedName name="URECO">'Product List'!$CU$2180:$CU$2183</definedName>
    <definedName name="VSUN">'Product List'!$CV$2180:$CV$2182</definedName>
    <definedName name="VYNCK">'Product List'!#REF!</definedName>
    <definedName name="WAGO">'Product List'!$CW$2180:$CW$2182</definedName>
    <definedName name="WALBX">'Product List'!$CX$2180:$CX$2181</definedName>
    <definedName name="WD40_">'Product List'!$CY$2180</definedName>
    <definedName name="WEST">'Product List'!$CZ$2180</definedName>
    <definedName name="WILY">'Product List'!$DA$2180</definedName>
    <definedName name="WIRE">'Product List'!$DB$2180:$DB$2230</definedName>
    <definedName name="WIRPV">'Product List'!$DC$2180:$DC$2184</definedName>
    <definedName name="ZILLC">'Product List'!$DD$2180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5" l="1"/>
  <c r="D12" i="5"/>
  <c r="D49" i="5"/>
  <c r="D51" i="5"/>
  <c r="D137" i="5"/>
  <c r="A137" i="5" s="1"/>
  <c r="D136" i="5"/>
  <c r="A136" i="5" s="1"/>
  <c r="D119" i="5"/>
  <c r="A119" i="5" s="1"/>
  <c r="D120" i="5"/>
  <c r="A120" i="5" s="1"/>
  <c r="D148" i="5"/>
  <c r="A148" i="5" s="1"/>
  <c r="D149" i="5"/>
  <c r="A149" i="5" s="1"/>
  <c r="A19" i="5" l="1"/>
  <c r="A20" i="5"/>
  <c r="A41" i="5"/>
  <c r="A42" i="5"/>
  <c r="A86" i="5"/>
  <c r="A87" i="5"/>
  <c r="A164" i="5"/>
  <c r="A165" i="5"/>
  <c r="A188" i="5"/>
  <c r="A189" i="5"/>
  <c r="A199" i="5"/>
  <c r="A200" i="5"/>
  <c r="A207" i="5"/>
  <c r="A208" i="5"/>
  <c r="A227" i="5"/>
  <c r="A228" i="5"/>
  <c r="D198" i="5"/>
  <c r="A198" i="5" s="1"/>
  <c r="D116" i="5"/>
  <c r="A116" i="5" s="1"/>
  <c r="D133" i="5"/>
  <c r="A133" i="5" s="1"/>
  <c r="D132" i="5"/>
  <c r="A132" i="5" s="1"/>
  <c r="D115" i="5"/>
  <c r="A115" i="5" s="1"/>
  <c r="D114" i="5"/>
  <c r="A114" i="5" s="1"/>
  <c r="D131" i="5"/>
  <c r="A131" i="5" s="1"/>
  <c r="D91" i="5"/>
  <c r="A91" i="5" s="1"/>
  <c r="D181" i="5" l="1"/>
  <c r="A181" i="5" s="1"/>
  <c r="D173" i="5"/>
  <c r="A173" i="5" s="1"/>
  <c r="D160" i="5"/>
  <c r="A160" i="5" s="1"/>
  <c r="D161" i="5"/>
  <c r="A161" i="5" s="1"/>
  <c r="D162" i="5"/>
  <c r="A162" i="5" s="1"/>
  <c r="D163" i="5"/>
  <c r="A163" i="5" s="1"/>
  <c r="D147" i="5"/>
  <c r="A147" i="5" s="1"/>
  <c r="D150" i="5"/>
  <c r="A150" i="5" s="1"/>
  <c r="D151" i="5"/>
  <c r="A151" i="5" s="1"/>
  <c r="D152" i="5"/>
  <c r="A152" i="5" s="1"/>
  <c r="D153" i="5"/>
  <c r="A153" i="5" s="1"/>
  <c r="D154" i="5"/>
  <c r="A154" i="5" s="1"/>
  <c r="D155" i="5"/>
  <c r="A155" i="5" s="1"/>
  <c r="D156" i="5"/>
  <c r="A156" i="5" s="1"/>
  <c r="D157" i="5"/>
  <c r="A157" i="5" s="1"/>
  <c r="D159" i="5"/>
  <c r="A159" i="5" s="1"/>
  <c r="D135" i="5"/>
  <c r="A135" i="5" s="1"/>
  <c r="D138" i="5"/>
  <c r="A138" i="5" s="1"/>
  <c r="D139" i="5"/>
  <c r="A139" i="5" s="1"/>
  <c r="D140" i="5"/>
  <c r="A140" i="5" s="1"/>
  <c r="D141" i="5"/>
  <c r="A141" i="5" s="1"/>
  <c r="D142" i="5"/>
  <c r="A142" i="5" s="1"/>
  <c r="D143" i="5"/>
  <c r="A143" i="5" s="1"/>
  <c r="D144" i="5"/>
  <c r="A144" i="5" s="1"/>
  <c r="D145" i="5"/>
  <c r="A145" i="5" s="1"/>
  <c r="D146" i="5"/>
  <c r="A146" i="5" s="1"/>
  <c r="D103" i="5"/>
  <c r="A103" i="5" s="1"/>
  <c r="D104" i="5"/>
  <c r="A104" i="5" s="1"/>
  <c r="D105" i="5"/>
  <c r="A105" i="5" s="1"/>
  <c r="D106" i="5"/>
  <c r="A106" i="5" s="1"/>
  <c r="D107" i="5"/>
  <c r="A107" i="5" s="1"/>
  <c r="D108" i="5"/>
  <c r="A108" i="5" s="1"/>
  <c r="D109" i="5"/>
  <c r="A109" i="5" s="1"/>
  <c r="D110" i="5"/>
  <c r="A110" i="5" s="1"/>
  <c r="D111" i="5"/>
  <c r="A111" i="5" s="1"/>
  <c r="D112" i="5"/>
  <c r="A112" i="5" s="1"/>
  <c r="D113" i="5"/>
  <c r="A113" i="5" s="1"/>
  <c r="D117" i="5"/>
  <c r="A117" i="5" s="1"/>
  <c r="D118" i="5"/>
  <c r="A118" i="5" s="1"/>
  <c r="D121" i="5"/>
  <c r="A121" i="5" s="1"/>
  <c r="D122" i="5"/>
  <c r="A122" i="5" s="1"/>
  <c r="D123" i="5"/>
  <c r="A123" i="5" s="1"/>
  <c r="D124" i="5"/>
  <c r="A124" i="5" s="1"/>
  <c r="D125" i="5"/>
  <c r="A125" i="5" s="1"/>
  <c r="D126" i="5"/>
  <c r="A126" i="5" s="1"/>
  <c r="D127" i="5"/>
  <c r="A127" i="5" s="1"/>
  <c r="D128" i="5"/>
  <c r="A128" i="5" s="1"/>
  <c r="D129" i="5"/>
  <c r="A129" i="5" s="1"/>
  <c r="D130" i="5"/>
  <c r="A130" i="5" s="1"/>
  <c r="D134" i="5"/>
  <c r="A134" i="5" s="1"/>
  <c r="D40" i="5"/>
  <c r="A40" i="5" s="1"/>
  <c r="D16" i="5"/>
  <c r="A16" i="5" s="1"/>
  <c r="D17" i="5"/>
  <c r="A17" i="5" s="1"/>
  <c r="D18" i="5"/>
  <c r="A18" i="5" s="1"/>
  <c r="D230" i="5" l="1"/>
  <c r="D231" i="5"/>
  <c r="D232" i="5"/>
  <c r="D233" i="5"/>
  <c r="D234" i="5"/>
  <c r="D235" i="5"/>
  <c r="D236" i="5"/>
  <c r="D237" i="5"/>
  <c r="D238" i="5"/>
  <c r="D229" i="5"/>
  <c r="A229" i="5" s="1"/>
  <c r="D210" i="5"/>
  <c r="A210" i="5" s="1"/>
  <c r="D211" i="5"/>
  <c r="A211" i="5" s="1"/>
  <c r="D212" i="5"/>
  <c r="A212" i="5" s="1"/>
  <c r="D213" i="5"/>
  <c r="A213" i="5" s="1"/>
  <c r="D214" i="5"/>
  <c r="A214" i="5" s="1"/>
  <c r="D215" i="5"/>
  <c r="A215" i="5" s="1"/>
  <c r="D216" i="5"/>
  <c r="A216" i="5" s="1"/>
  <c r="D217" i="5"/>
  <c r="A217" i="5" s="1"/>
  <c r="D218" i="5"/>
  <c r="A218" i="5" s="1"/>
  <c r="D219" i="5"/>
  <c r="A219" i="5" s="1"/>
  <c r="D220" i="5"/>
  <c r="A220" i="5" s="1"/>
  <c r="D221" i="5"/>
  <c r="A221" i="5" s="1"/>
  <c r="D222" i="5"/>
  <c r="A222" i="5" s="1"/>
  <c r="D223" i="5"/>
  <c r="A223" i="5" s="1"/>
  <c r="D224" i="5"/>
  <c r="A224" i="5" s="1"/>
  <c r="D225" i="5"/>
  <c r="A225" i="5" s="1"/>
  <c r="D226" i="5"/>
  <c r="A226" i="5" s="1"/>
  <c r="D209" i="5"/>
  <c r="A209" i="5" s="1"/>
  <c r="D202" i="5"/>
  <c r="A202" i="5" s="1"/>
  <c r="D203" i="5"/>
  <c r="A203" i="5" s="1"/>
  <c r="D204" i="5"/>
  <c r="A204" i="5" s="1"/>
  <c r="D205" i="5"/>
  <c r="A205" i="5" s="1"/>
  <c r="D206" i="5"/>
  <c r="A206" i="5" s="1"/>
  <c r="D201" i="5"/>
  <c r="A201" i="5" s="1"/>
  <c r="D191" i="5"/>
  <c r="A191" i="5" s="1"/>
  <c r="D192" i="5"/>
  <c r="A192" i="5" s="1"/>
  <c r="D193" i="5"/>
  <c r="A193" i="5" s="1"/>
  <c r="D194" i="5"/>
  <c r="A194" i="5" s="1"/>
  <c r="D195" i="5"/>
  <c r="A195" i="5" s="1"/>
  <c r="D196" i="5"/>
  <c r="A196" i="5" s="1"/>
  <c r="D197" i="5"/>
  <c r="A197" i="5" s="1"/>
  <c r="D190" i="5"/>
  <c r="A190" i="5" s="1"/>
  <c r="D167" i="5"/>
  <c r="A167" i="5" s="1"/>
  <c r="D168" i="5"/>
  <c r="A168" i="5" s="1"/>
  <c r="D169" i="5"/>
  <c r="A169" i="5" s="1"/>
  <c r="D170" i="5"/>
  <c r="A170" i="5" s="1"/>
  <c r="D171" i="5"/>
  <c r="A171" i="5" s="1"/>
  <c r="D172" i="5"/>
  <c r="A172" i="5" s="1"/>
  <c r="D174" i="5"/>
  <c r="A174" i="5" s="1"/>
  <c r="D175" i="5"/>
  <c r="A175" i="5" s="1"/>
  <c r="D176" i="5"/>
  <c r="A176" i="5" s="1"/>
  <c r="D177" i="5"/>
  <c r="A177" i="5" s="1"/>
  <c r="D178" i="5"/>
  <c r="A178" i="5" s="1"/>
  <c r="D179" i="5"/>
  <c r="A179" i="5" s="1"/>
  <c r="D180" i="5"/>
  <c r="A180" i="5" s="1"/>
  <c r="D182" i="5"/>
  <c r="A182" i="5" s="1"/>
  <c r="D183" i="5"/>
  <c r="A183" i="5" s="1"/>
  <c r="D184" i="5"/>
  <c r="A184" i="5" s="1"/>
  <c r="D185" i="5"/>
  <c r="A185" i="5" s="1"/>
  <c r="D186" i="5"/>
  <c r="A186" i="5" s="1"/>
  <c r="D187" i="5"/>
  <c r="A187" i="5" s="1"/>
  <c r="D166" i="5"/>
  <c r="A166" i="5" s="1"/>
  <c r="D89" i="5"/>
  <c r="A89" i="5" s="1"/>
  <c r="D90" i="5"/>
  <c r="A90" i="5" s="1"/>
  <c r="D92" i="5"/>
  <c r="A92" i="5" s="1"/>
  <c r="D93" i="5"/>
  <c r="A93" i="5" s="1"/>
  <c r="D94" i="5"/>
  <c r="A94" i="5" s="1"/>
  <c r="D95" i="5"/>
  <c r="A95" i="5" s="1"/>
  <c r="D96" i="5"/>
  <c r="A96" i="5" s="1"/>
  <c r="D97" i="5"/>
  <c r="A97" i="5" s="1"/>
  <c r="D98" i="5"/>
  <c r="A98" i="5" s="1"/>
  <c r="A100" i="5"/>
  <c r="D101" i="5"/>
  <c r="A101" i="5" s="1"/>
  <c r="D102" i="5"/>
  <c r="A102" i="5" s="1"/>
  <c r="D88" i="5"/>
  <c r="A88" i="5" s="1"/>
  <c r="D44" i="5"/>
  <c r="A44" i="5" s="1"/>
  <c r="D45" i="5"/>
  <c r="A45" i="5" s="1"/>
  <c r="D46" i="5"/>
  <c r="A46" i="5" s="1"/>
  <c r="D47" i="5"/>
  <c r="A47" i="5" s="1"/>
  <c r="D48" i="5"/>
  <c r="A48" i="5" s="1"/>
  <c r="D50" i="5"/>
  <c r="A50" i="5" s="1"/>
  <c r="A51" i="5"/>
  <c r="D70" i="5"/>
  <c r="A70" i="5" s="1"/>
  <c r="D71" i="5"/>
  <c r="A71" i="5" s="1"/>
  <c r="D72" i="5"/>
  <c r="A72" i="5" s="1"/>
  <c r="D73" i="5"/>
  <c r="A73" i="5" s="1"/>
  <c r="D74" i="5"/>
  <c r="A74" i="5" s="1"/>
  <c r="D75" i="5"/>
  <c r="A75" i="5" s="1"/>
  <c r="D76" i="5"/>
  <c r="A76" i="5" s="1"/>
  <c r="D77" i="5"/>
  <c r="A77" i="5" s="1"/>
  <c r="D78" i="5"/>
  <c r="A78" i="5" s="1"/>
  <c r="D79" i="5"/>
  <c r="A79" i="5" s="1"/>
  <c r="D80" i="5"/>
  <c r="A80" i="5" s="1"/>
  <c r="D81" i="5"/>
  <c r="A81" i="5" s="1"/>
  <c r="D82" i="5"/>
  <c r="A82" i="5" s="1"/>
  <c r="D83" i="5"/>
  <c r="A83" i="5" s="1"/>
  <c r="D84" i="5"/>
  <c r="A84" i="5" s="1"/>
  <c r="D85" i="5"/>
  <c r="A85" i="5" s="1"/>
  <c r="D43" i="5"/>
  <c r="A43" i="5" s="1"/>
  <c r="A22" i="5"/>
  <c r="A23" i="5"/>
  <c r="A24" i="5"/>
  <c r="A25" i="5"/>
  <c r="A26" i="5"/>
  <c r="A27" i="5"/>
  <c r="A28" i="5"/>
  <c r="A29" i="5"/>
  <c r="D30" i="5"/>
  <c r="A30" i="5" s="1"/>
  <c r="D31" i="5"/>
  <c r="A31" i="5" s="1"/>
  <c r="D32" i="5"/>
  <c r="A32" i="5" s="1"/>
  <c r="D33" i="5"/>
  <c r="A33" i="5" s="1"/>
  <c r="D34" i="5"/>
  <c r="A34" i="5" s="1"/>
  <c r="A35" i="5"/>
  <c r="D36" i="5"/>
  <c r="A36" i="5" s="1"/>
  <c r="D37" i="5"/>
  <c r="A37" i="5" s="1"/>
  <c r="D38" i="5"/>
  <c r="A38" i="5" s="1"/>
  <c r="D39" i="5"/>
  <c r="A39" i="5" s="1"/>
  <c r="A21" i="5"/>
  <c r="D9" i="5"/>
  <c r="A12" i="5"/>
  <c r="D13" i="5"/>
  <c r="A13" i="5" s="1"/>
  <c r="D14" i="5"/>
  <c r="A14" i="5" s="1"/>
  <c r="D15" i="5"/>
  <c r="A15" i="5" s="1"/>
  <c r="D11" i="5"/>
  <c r="A11" i="5" s="1"/>
  <c r="E3" i="3" l="1"/>
  <c r="E295" i="3" l="1"/>
  <c r="J5" i="3" l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l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J1007" i="3" s="1"/>
  <c r="J1008" i="3" s="1"/>
  <c r="J1009" i="3" s="1"/>
  <c r="J1010" i="3" s="1"/>
  <c r="J1011" i="3" s="1"/>
  <c r="J1012" i="3" s="1"/>
  <c r="J1013" i="3" s="1"/>
  <c r="J1014" i="3" s="1"/>
  <c r="J1015" i="3" s="1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7" i="3" s="1"/>
  <c r="J1058" i="3" s="1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J1083" i="3" s="1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J1104" i="3" s="1"/>
  <c r="J1105" i="3" s="1"/>
  <c r="J1106" i="3" s="1"/>
  <c r="J1107" i="3" s="1"/>
  <c r="J1108" i="3" s="1"/>
  <c r="J1109" i="3" s="1"/>
  <c r="J1110" i="3" s="1"/>
  <c r="J1111" i="3" s="1"/>
  <c r="J1112" i="3" s="1"/>
  <c r="J1113" i="3" s="1"/>
  <c r="J1114" i="3" s="1"/>
  <c r="J1115" i="3" s="1"/>
  <c r="J1116" i="3" s="1"/>
  <c r="J1117" i="3" s="1"/>
  <c r="J1118" i="3" s="1"/>
  <c r="J1119" i="3" s="1"/>
  <c r="J1120" i="3" s="1"/>
  <c r="J1121" i="3" s="1"/>
  <c r="J1122" i="3" s="1"/>
  <c r="J1123" i="3" s="1"/>
  <c r="J1124" i="3" s="1"/>
  <c r="J1125" i="3" s="1"/>
  <c r="J1126" i="3" s="1"/>
  <c r="J1127" i="3" s="1"/>
  <c r="J1128" i="3" s="1"/>
  <c r="J1129" i="3" s="1"/>
  <c r="J1130" i="3" s="1"/>
  <c r="J1131" i="3" s="1"/>
  <c r="J1132" i="3" s="1"/>
  <c r="J1133" i="3" s="1"/>
  <c r="J1134" i="3" s="1"/>
  <c r="J1135" i="3" s="1"/>
  <c r="J1136" i="3" s="1"/>
  <c r="J1137" i="3" s="1"/>
  <c r="J1138" i="3" s="1"/>
  <c r="J1139" i="3" s="1"/>
  <c r="J1140" i="3" s="1"/>
  <c r="J1141" i="3" s="1"/>
  <c r="J1142" i="3" s="1"/>
  <c r="J1143" i="3" s="1"/>
  <c r="J1144" i="3" s="1"/>
  <c r="J1145" i="3" s="1"/>
  <c r="J1146" i="3" s="1"/>
  <c r="J1147" i="3" s="1"/>
  <c r="J1148" i="3" s="1"/>
  <c r="J1149" i="3" s="1"/>
  <c r="J1150" i="3" s="1"/>
  <c r="J1151" i="3" s="1"/>
  <c r="J1152" i="3" s="1"/>
  <c r="J1153" i="3" s="1"/>
  <c r="J1154" i="3" s="1"/>
  <c r="J1155" i="3" s="1"/>
  <c r="J1156" i="3" s="1"/>
  <c r="J1157" i="3" s="1"/>
  <c r="J1158" i="3" s="1"/>
  <c r="J1159" i="3" s="1"/>
  <c r="J1160" i="3" s="1"/>
  <c r="J1161" i="3" s="1"/>
  <c r="J1162" i="3" s="1"/>
  <c r="J1163" i="3" s="1"/>
  <c r="J1164" i="3" s="1"/>
  <c r="J1165" i="3" s="1"/>
  <c r="J1166" i="3" s="1"/>
  <c r="J1167" i="3" s="1"/>
  <c r="J1168" i="3" s="1"/>
  <c r="J1169" i="3" s="1"/>
  <c r="J1170" i="3" s="1"/>
  <c r="J1171" i="3" s="1"/>
  <c r="J1172" i="3" s="1"/>
  <c r="J1173" i="3" s="1"/>
  <c r="J1174" i="3" s="1"/>
  <c r="J1175" i="3" s="1"/>
  <c r="J1176" i="3" s="1"/>
  <c r="J1177" i="3" s="1"/>
  <c r="J1178" i="3" s="1"/>
  <c r="J1179" i="3" s="1"/>
  <c r="J1180" i="3" s="1"/>
  <c r="J1181" i="3" s="1"/>
  <c r="J1182" i="3" s="1"/>
  <c r="J1183" i="3" s="1"/>
  <c r="J1184" i="3" s="1"/>
  <c r="J1185" i="3" s="1"/>
  <c r="J1186" i="3" s="1"/>
  <c r="J1187" i="3" s="1"/>
  <c r="J1188" i="3" s="1"/>
  <c r="J1189" i="3" s="1"/>
  <c r="J1190" i="3" s="1"/>
  <c r="J1191" i="3" s="1"/>
  <c r="J1192" i="3" s="1"/>
  <c r="J1193" i="3" s="1"/>
  <c r="J1194" i="3" s="1"/>
  <c r="J1195" i="3" s="1"/>
  <c r="J1196" i="3" s="1"/>
  <c r="J1197" i="3" s="1"/>
  <c r="J1198" i="3" s="1"/>
  <c r="J1199" i="3" s="1"/>
  <c r="J1200" i="3" s="1"/>
  <c r="J1201" i="3" s="1"/>
  <c r="J1202" i="3" s="1"/>
  <c r="J1203" i="3" s="1"/>
  <c r="J1204" i="3" s="1"/>
  <c r="J1205" i="3" s="1"/>
  <c r="J1206" i="3" s="1"/>
  <c r="J1207" i="3" s="1"/>
  <c r="J1208" i="3" s="1"/>
  <c r="J1209" i="3" s="1"/>
  <c r="J1210" i="3" s="1"/>
  <c r="J1211" i="3" s="1"/>
  <c r="J1212" i="3" s="1"/>
  <c r="J1213" i="3" s="1"/>
  <c r="J1214" i="3" s="1"/>
  <c r="J1215" i="3" s="1"/>
  <c r="J1216" i="3" s="1"/>
  <c r="J1217" i="3" s="1"/>
  <c r="J1218" i="3" s="1"/>
  <c r="J1219" i="3" s="1"/>
  <c r="J1220" i="3" s="1"/>
  <c r="J1221" i="3" s="1"/>
  <c r="J1222" i="3" s="1"/>
  <c r="J1223" i="3" s="1"/>
  <c r="J1224" i="3" s="1"/>
  <c r="J1225" i="3" s="1"/>
  <c r="J1226" i="3" s="1"/>
  <c r="J1227" i="3" s="1"/>
  <c r="J1228" i="3" s="1"/>
  <c r="J1229" i="3" s="1"/>
  <c r="J1230" i="3" s="1"/>
  <c r="J1231" i="3" s="1"/>
  <c r="J1232" i="3" s="1"/>
  <c r="J1233" i="3" s="1"/>
  <c r="J1234" i="3" s="1"/>
  <c r="J1235" i="3" s="1"/>
  <c r="J1236" i="3" s="1"/>
  <c r="J1237" i="3" s="1"/>
  <c r="J1238" i="3" s="1"/>
  <c r="J1239" i="3" s="1"/>
  <c r="J1240" i="3" s="1"/>
  <c r="J1241" i="3" s="1"/>
  <c r="J1242" i="3" s="1"/>
  <c r="J1243" i="3" s="1"/>
  <c r="J1244" i="3" s="1"/>
  <c r="J1245" i="3" s="1"/>
  <c r="J1246" i="3" s="1"/>
  <c r="J1247" i="3" s="1"/>
  <c r="J1248" i="3" s="1"/>
  <c r="J1249" i="3" s="1"/>
  <c r="J1250" i="3" s="1"/>
  <c r="J1251" i="3" s="1"/>
  <c r="J1252" i="3" s="1"/>
  <c r="J1253" i="3" s="1"/>
  <c r="J1254" i="3" s="1"/>
  <c r="J1255" i="3" s="1"/>
  <c r="J1256" i="3" s="1"/>
  <c r="J1257" i="3" s="1"/>
  <c r="J1258" i="3" s="1"/>
  <c r="J1259" i="3" s="1"/>
  <c r="J1260" i="3" s="1"/>
  <c r="J1261" i="3" s="1"/>
  <c r="J1262" i="3" s="1"/>
  <c r="J1263" i="3" s="1"/>
  <c r="J1264" i="3" s="1"/>
  <c r="J1265" i="3" s="1"/>
  <c r="J1266" i="3" s="1"/>
  <c r="J1267" i="3" s="1"/>
  <c r="J1268" i="3" s="1"/>
  <c r="J1269" i="3" s="1"/>
  <c r="J1270" i="3" s="1"/>
  <c r="J1271" i="3" s="1"/>
  <c r="J1272" i="3" s="1"/>
  <c r="J1273" i="3" s="1"/>
  <c r="J1274" i="3" s="1"/>
  <c r="J1275" i="3" s="1"/>
  <c r="J1276" i="3" s="1"/>
  <c r="J1277" i="3" s="1"/>
  <c r="J1278" i="3" s="1"/>
  <c r="J1279" i="3" s="1"/>
  <c r="J1280" i="3" s="1"/>
  <c r="J1281" i="3" s="1"/>
  <c r="J1282" i="3" s="1"/>
  <c r="J1283" i="3" s="1"/>
  <c r="J1284" i="3" s="1"/>
  <c r="J1285" i="3" s="1"/>
  <c r="J1286" i="3" s="1"/>
  <c r="J1287" i="3" s="1"/>
  <c r="J1288" i="3" s="1"/>
  <c r="J1289" i="3" s="1"/>
  <c r="J1290" i="3" s="1"/>
  <c r="J1291" i="3" s="1"/>
  <c r="J1292" i="3" s="1"/>
  <c r="J1293" i="3" s="1"/>
  <c r="J1294" i="3" s="1"/>
  <c r="J1295" i="3" s="1"/>
  <c r="J1296" i="3" s="1"/>
  <c r="J1297" i="3" s="1"/>
  <c r="J1298" i="3" s="1"/>
  <c r="J1299" i="3" s="1"/>
  <c r="J1300" i="3" s="1"/>
  <c r="J1301" i="3" s="1"/>
  <c r="J1302" i="3" s="1"/>
  <c r="J1303" i="3" s="1"/>
  <c r="J1304" i="3" s="1"/>
  <c r="J1305" i="3" s="1"/>
  <c r="J1306" i="3" s="1"/>
  <c r="J1307" i="3" s="1"/>
  <c r="J1308" i="3" s="1"/>
  <c r="J1309" i="3" s="1"/>
  <c r="J1310" i="3" s="1"/>
  <c r="J1311" i="3" s="1"/>
  <c r="J1312" i="3" s="1"/>
  <c r="J1313" i="3" s="1"/>
  <c r="J1314" i="3" s="1"/>
  <c r="J1315" i="3" s="1"/>
  <c r="J1316" i="3" s="1"/>
  <c r="J1317" i="3" s="1"/>
  <c r="J1318" i="3" s="1"/>
  <c r="J1319" i="3" s="1"/>
  <c r="J1320" i="3" s="1"/>
  <c r="J1321" i="3" s="1"/>
  <c r="J1322" i="3" s="1"/>
  <c r="J1323" i="3" s="1"/>
  <c r="J1324" i="3" s="1"/>
  <c r="J1325" i="3" s="1"/>
  <c r="J1326" i="3" s="1"/>
  <c r="J1327" i="3" s="1"/>
  <c r="J1328" i="3" s="1"/>
  <c r="J1329" i="3" s="1"/>
  <c r="J1330" i="3" s="1"/>
  <c r="J1331" i="3" s="1"/>
  <c r="J1332" i="3" s="1"/>
  <c r="J1333" i="3" s="1"/>
  <c r="J1334" i="3" s="1"/>
  <c r="J1335" i="3" s="1"/>
  <c r="J1336" i="3" s="1"/>
  <c r="J1337" i="3" s="1"/>
  <c r="J1338" i="3" s="1"/>
  <c r="J1339" i="3" s="1"/>
  <c r="J1340" i="3" s="1"/>
  <c r="J1341" i="3" s="1"/>
  <c r="J1342" i="3" s="1"/>
  <c r="J1343" i="3" s="1"/>
  <c r="J1344" i="3" s="1"/>
  <c r="J1345" i="3" s="1"/>
  <c r="J1346" i="3" s="1"/>
  <c r="J1347" i="3" s="1"/>
  <c r="J1348" i="3" s="1"/>
  <c r="J1349" i="3" s="1"/>
  <c r="J1350" i="3" s="1"/>
  <c r="J1351" i="3" s="1"/>
  <c r="J1352" i="3" s="1"/>
  <c r="J1353" i="3" s="1"/>
  <c r="J1354" i="3" s="1"/>
  <c r="J1355" i="3" s="1"/>
  <c r="J1356" i="3" s="1"/>
  <c r="J1357" i="3" s="1"/>
  <c r="J1358" i="3" s="1"/>
  <c r="J1359" i="3" s="1"/>
  <c r="J1360" i="3" s="1"/>
  <c r="J1361" i="3" s="1"/>
  <c r="J1362" i="3" s="1"/>
  <c r="J1363" i="3" s="1"/>
  <c r="J1364" i="3" s="1"/>
  <c r="J1365" i="3" s="1"/>
  <c r="J1366" i="3" s="1"/>
  <c r="J1367" i="3" s="1"/>
  <c r="J1368" i="3" s="1"/>
  <c r="J1369" i="3" s="1"/>
  <c r="J1370" i="3" s="1"/>
  <c r="J1371" i="3" s="1"/>
  <c r="J1372" i="3" s="1"/>
  <c r="J1373" i="3" s="1"/>
  <c r="J1374" i="3" s="1"/>
  <c r="J1375" i="3" s="1"/>
  <c r="J1376" i="3" s="1"/>
  <c r="J1377" i="3" s="1"/>
  <c r="J1378" i="3" s="1"/>
  <c r="J1379" i="3" s="1"/>
  <c r="J1380" i="3" s="1"/>
  <c r="J1381" i="3" s="1"/>
  <c r="J1382" i="3" s="1"/>
  <c r="J1383" i="3" s="1"/>
  <c r="J1384" i="3" s="1"/>
  <c r="J1385" i="3" s="1"/>
  <c r="J1386" i="3" s="1"/>
  <c r="J1387" i="3" s="1"/>
  <c r="J1388" i="3" s="1"/>
  <c r="J1389" i="3" s="1"/>
  <c r="J1390" i="3" s="1"/>
  <c r="J1391" i="3" s="1"/>
  <c r="J1392" i="3" s="1"/>
  <c r="J1393" i="3" s="1"/>
  <c r="J1394" i="3" s="1"/>
  <c r="J1395" i="3" s="1"/>
  <c r="J1396" i="3" s="1"/>
  <c r="J1397" i="3" s="1"/>
  <c r="J1398" i="3" s="1"/>
  <c r="J1399" i="3" s="1"/>
  <c r="J1400" i="3" s="1"/>
  <c r="J1401" i="3" s="1"/>
  <c r="J1402" i="3" s="1"/>
  <c r="J1403" i="3" s="1"/>
  <c r="J1404" i="3" s="1"/>
  <c r="J1405" i="3" s="1"/>
  <c r="J1406" i="3" s="1"/>
  <c r="J1407" i="3" s="1"/>
  <c r="J1408" i="3" s="1"/>
  <c r="J1409" i="3" s="1"/>
  <c r="J1410" i="3" s="1"/>
  <c r="J1411" i="3" s="1"/>
  <c r="J1412" i="3" s="1"/>
  <c r="J1413" i="3" s="1"/>
  <c r="J1414" i="3" s="1"/>
  <c r="J1415" i="3" s="1"/>
  <c r="J1416" i="3" s="1"/>
  <c r="J1417" i="3" s="1"/>
  <c r="J1418" i="3" s="1"/>
  <c r="J1419" i="3" s="1"/>
  <c r="J1420" i="3" s="1"/>
  <c r="J1421" i="3" s="1"/>
  <c r="J1422" i="3" s="1"/>
  <c r="J1423" i="3" s="1"/>
  <c r="J1424" i="3" s="1"/>
  <c r="J1425" i="3" s="1"/>
  <c r="J1426" i="3" s="1"/>
  <c r="J1427" i="3" s="1"/>
  <c r="J1428" i="3" s="1"/>
  <c r="J1429" i="3" s="1"/>
  <c r="J1430" i="3" s="1"/>
  <c r="J1431" i="3" s="1"/>
  <c r="J1432" i="3" s="1"/>
  <c r="J1433" i="3" s="1"/>
  <c r="J1434" i="3" s="1"/>
  <c r="J1435" i="3" s="1"/>
  <c r="J1436" i="3" s="1"/>
  <c r="J1437" i="3" s="1"/>
  <c r="J1438" i="3" s="1"/>
  <c r="J1439" i="3" s="1"/>
  <c r="J1440" i="3" s="1"/>
  <c r="J1441" i="3" s="1"/>
  <c r="J1442" i="3" s="1"/>
  <c r="J1443" i="3" s="1"/>
  <c r="J1444" i="3" s="1"/>
  <c r="J1445" i="3" s="1"/>
  <c r="J1446" i="3" s="1"/>
  <c r="J1447" i="3" s="1"/>
  <c r="J1448" i="3" s="1"/>
  <c r="J1449" i="3" s="1"/>
  <c r="J1450" i="3" s="1"/>
  <c r="J1451" i="3" s="1"/>
  <c r="J1452" i="3" s="1"/>
  <c r="J1453" i="3" s="1"/>
  <c r="J1454" i="3" s="1"/>
  <c r="J1455" i="3" s="1"/>
  <c r="J1456" i="3" s="1"/>
  <c r="J1457" i="3" s="1"/>
  <c r="J1458" i="3" s="1"/>
  <c r="J1459" i="3" s="1"/>
  <c r="J1460" i="3" s="1"/>
  <c r="J1461" i="3" s="1"/>
  <c r="J1462" i="3" s="1"/>
  <c r="J1463" i="3" s="1"/>
  <c r="J1464" i="3" s="1"/>
  <c r="J1465" i="3" s="1"/>
  <c r="J1466" i="3" s="1"/>
  <c r="J1467" i="3" s="1"/>
  <c r="J1468" i="3" s="1"/>
  <c r="J1469" i="3" s="1"/>
  <c r="J1470" i="3" s="1"/>
  <c r="J1471" i="3" s="1"/>
  <c r="J1472" i="3" s="1"/>
  <c r="J1473" i="3" s="1"/>
  <c r="J1474" i="3" s="1"/>
  <c r="J1475" i="3" s="1"/>
  <c r="J1476" i="3" s="1"/>
  <c r="J1477" i="3" s="1"/>
  <c r="J1478" i="3" s="1"/>
  <c r="J1479" i="3" s="1"/>
  <c r="J1480" i="3" s="1"/>
  <c r="E5" i="3"/>
  <c r="E6" i="3"/>
  <c r="E4" i="3"/>
  <c r="E7" i="3" l="1"/>
  <c r="E8" i="3" l="1"/>
  <c r="E9" i="3" l="1"/>
  <c r="E10" i="3" l="1"/>
  <c r="E11" i="3" l="1"/>
  <c r="E12" i="3" l="1"/>
  <c r="E13" i="3" l="1"/>
  <c r="E14" i="3" l="1"/>
  <c r="E15" i="3" l="1"/>
  <c r="E16" i="3" l="1"/>
  <c r="E17" i="3" l="1"/>
  <c r="E18" i="3" l="1"/>
  <c r="E19" i="3" l="1"/>
  <c r="E20" i="3" l="1"/>
  <c r="E21" i="3" l="1"/>
  <c r="E22" i="3" l="1"/>
  <c r="E23" i="3" l="1"/>
  <c r="E24" i="3" l="1"/>
  <c r="E25" i="3" l="1"/>
  <c r="E26" i="3" l="1"/>
  <c r="E27" i="3" l="1"/>
  <c r="E28" i="3" l="1"/>
  <c r="E29" i="3" l="1"/>
  <c r="E30" i="3" l="1"/>
  <c r="E31" i="3" l="1"/>
  <c r="E32" i="3" l="1"/>
  <c r="E33" i="3" l="1"/>
  <c r="E34" i="3" l="1"/>
  <c r="E35" i="3" l="1"/>
  <c r="E36" i="3" l="1"/>
  <c r="E37" i="3" l="1"/>
  <c r="E38" i="3" l="1"/>
  <c r="E39" i="3" l="1"/>
  <c r="E40" i="3" l="1"/>
  <c r="E41" i="3" l="1"/>
  <c r="E42" i="3" l="1"/>
  <c r="E43" i="3" l="1"/>
  <c r="E44" i="3" l="1"/>
  <c r="E45" i="3" l="1"/>
  <c r="E46" i="3" l="1"/>
  <c r="E47" i="3" l="1"/>
  <c r="E48" i="3" l="1"/>
  <c r="E49" i="3" l="1"/>
  <c r="E50" i="3" l="1"/>
  <c r="E51" i="3" l="1"/>
  <c r="E52" i="3" l="1"/>
  <c r="E53" i="3" l="1"/>
  <c r="E54" i="3" l="1"/>
  <c r="E55" i="3" l="1"/>
  <c r="E56" i="3" l="1"/>
  <c r="E57" i="3" l="1"/>
  <c r="E58" i="3" l="1"/>
  <c r="E59" i="3" l="1"/>
  <c r="E60" i="3" l="1"/>
  <c r="E61" i="3" l="1"/>
  <c r="E62" i="3" l="1"/>
  <c r="E63" i="3" l="1"/>
  <c r="E64" i="3" l="1"/>
  <c r="E65" i="3" l="1"/>
  <c r="E66" i="3" l="1"/>
  <c r="E67" i="3" l="1"/>
  <c r="E68" i="3" l="1"/>
  <c r="E69" i="3" l="1"/>
  <c r="E70" i="3" l="1"/>
  <c r="E71" i="3" l="1"/>
  <c r="E72" i="3" l="1"/>
  <c r="E73" i="3" l="1"/>
  <c r="E74" i="3" l="1"/>
  <c r="E75" i="3" l="1"/>
  <c r="E76" i="3" l="1"/>
  <c r="E77" i="3" l="1"/>
  <c r="E78" i="3" l="1"/>
  <c r="E79" i="3" l="1"/>
  <c r="E80" i="3" l="1"/>
  <c r="E81" i="3" l="1"/>
  <c r="E82" i="3" l="1"/>
  <c r="E83" i="3" l="1"/>
  <c r="E84" i="3" l="1"/>
  <c r="E85" i="3" l="1"/>
  <c r="E86" i="3" l="1"/>
  <c r="E87" i="3" l="1"/>
  <c r="E88" i="3" l="1"/>
  <c r="E89" i="3" l="1"/>
  <c r="E90" i="3" l="1"/>
  <c r="E91" i="3" l="1"/>
  <c r="E92" i="3" l="1"/>
  <c r="E93" i="3" l="1"/>
  <c r="E94" i="3" l="1"/>
  <c r="E95" i="3" l="1"/>
  <c r="E96" i="3" l="1"/>
  <c r="E97" i="3" l="1"/>
  <c r="E98" i="3" l="1"/>
  <c r="E99" i="3" l="1"/>
  <c r="E100" i="3" l="1"/>
  <c r="E101" i="3" l="1"/>
  <c r="E102" i="3" l="1"/>
  <c r="E103" i="3" l="1"/>
  <c r="E104" i="3" l="1"/>
  <c r="E105" i="3" l="1"/>
  <c r="E106" i="3" l="1"/>
  <c r="E107" i="3" l="1"/>
  <c r="E108" i="3" l="1"/>
  <c r="E109" i="3" l="1"/>
  <c r="E110" i="3" l="1"/>
  <c r="E111" i="3" l="1"/>
  <c r="E112" i="3" l="1"/>
  <c r="E113" i="3" l="1"/>
  <c r="E114" i="3" l="1"/>
  <c r="E115" i="3" l="1"/>
  <c r="E116" i="3" l="1"/>
  <c r="E117" i="3" l="1"/>
  <c r="E118" i="3" l="1"/>
  <c r="E119" i="3" l="1"/>
  <c r="E120" i="3" l="1"/>
  <c r="E121" i="3" l="1"/>
  <c r="E122" i="3" l="1"/>
  <c r="E123" i="3" l="1"/>
  <c r="E124" i="3" l="1"/>
  <c r="E125" i="3" l="1"/>
  <c r="E126" i="3" l="1"/>
  <c r="E127" i="3" l="1"/>
  <c r="E128" i="3" l="1"/>
  <c r="E129" i="3" l="1"/>
  <c r="E130" i="3" l="1"/>
  <c r="E131" i="3" l="1"/>
  <c r="E132" i="3" l="1"/>
  <c r="E133" i="3" l="1"/>
  <c r="E134" i="3" l="1"/>
  <c r="E135" i="3" l="1"/>
  <c r="E136" i="3" l="1"/>
  <c r="E137" i="3" l="1"/>
  <c r="E138" i="3" l="1"/>
  <c r="E139" i="3" l="1"/>
  <c r="E140" i="3" l="1"/>
  <c r="E141" i="3" l="1"/>
  <c r="E142" i="3" l="1"/>
  <c r="E143" i="3" l="1"/>
  <c r="E144" i="3" l="1"/>
  <c r="E145" i="3" l="1"/>
  <c r="E146" i="3" l="1"/>
  <c r="E147" i="3" l="1"/>
  <c r="E148" i="3" l="1"/>
  <c r="E149" i="3" l="1"/>
  <c r="E150" i="3" l="1"/>
  <c r="E151" i="3" l="1"/>
  <c r="E152" i="3" l="1"/>
  <c r="E153" i="3" l="1"/>
  <c r="E154" i="3" l="1"/>
  <c r="E155" i="3" l="1"/>
  <c r="E156" i="3" l="1"/>
  <c r="E157" i="3" l="1"/>
  <c r="E158" i="3" l="1"/>
  <c r="E159" i="3" l="1"/>
  <c r="E160" i="3" l="1"/>
  <c r="E161" i="3" l="1"/>
  <c r="E162" i="3" l="1"/>
  <c r="E163" i="3" l="1"/>
  <c r="E164" i="3" l="1"/>
  <c r="E165" i="3" l="1"/>
  <c r="E166" i="3" l="1"/>
  <c r="E167" i="3" l="1"/>
  <c r="E168" i="3" l="1"/>
  <c r="E169" i="3" l="1"/>
  <c r="E170" i="3" l="1"/>
  <c r="E171" i="3" l="1"/>
  <c r="E172" i="3" l="1"/>
  <c r="E173" i="3" l="1"/>
  <c r="E174" i="3" l="1"/>
  <c r="E175" i="3" l="1"/>
  <c r="E176" i="3" l="1"/>
  <c r="E177" i="3" l="1"/>
  <c r="E178" i="3" l="1"/>
  <c r="E179" i="3" l="1"/>
  <c r="E180" i="3" l="1"/>
  <c r="E181" i="3" l="1"/>
  <c r="E182" i="3" l="1"/>
  <c r="E183" i="3" l="1"/>
  <c r="E184" i="3" l="1"/>
  <c r="E185" i="3" l="1"/>
  <c r="E186" i="3" l="1"/>
  <c r="E187" i="3" l="1"/>
  <c r="E188" i="3" l="1"/>
  <c r="E189" i="3" l="1"/>
  <c r="E190" i="3" l="1"/>
  <c r="E191" i="3" l="1"/>
  <c r="E192" i="3" l="1"/>
  <c r="E193" i="3" l="1"/>
  <c r="E194" i="3" l="1"/>
  <c r="E195" i="3" l="1"/>
  <c r="E196" i="3" l="1"/>
  <c r="E197" i="3" l="1"/>
  <c r="E198" i="3" l="1"/>
  <c r="E199" i="3" l="1"/>
  <c r="E200" i="3" l="1"/>
  <c r="E201" i="3" l="1"/>
  <c r="E202" i="3" l="1"/>
  <c r="E203" i="3" l="1"/>
  <c r="E204" i="3" l="1"/>
  <c r="E205" i="3" l="1"/>
  <c r="E206" i="3" l="1"/>
  <c r="E207" i="3" l="1"/>
  <c r="E208" i="3" l="1"/>
  <c r="E209" i="3" l="1"/>
  <c r="E210" i="3" l="1"/>
  <c r="E211" i="3" l="1"/>
  <c r="E212" i="3" l="1"/>
  <c r="E213" i="3" l="1"/>
  <c r="E214" i="3" l="1"/>
  <c r="E215" i="3" l="1"/>
  <c r="E216" i="3" l="1"/>
  <c r="E217" i="3" l="1"/>
  <c r="E218" i="3" l="1"/>
  <c r="E219" i="3" l="1"/>
  <c r="E220" i="3" l="1"/>
  <c r="E221" i="3" l="1"/>
  <c r="E222" i="3" l="1"/>
  <c r="E223" i="3" l="1"/>
  <c r="E224" i="3" l="1"/>
  <c r="E225" i="3" l="1"/>
  <c r="E226" i="3" l="1"/>
  <c r="E227" i="3" l="1"/>
  <c r="E228" i="3" l="1"/>
  <c r="E229" i="3" l="1"/>
  <c r="E230" i="3" l="1"/>
  <c r="E231" i="3" l="1"/>
  <c r="E232" i="3" l="1"/>
  <c r="E233" i="3" l="1"/>
  <c r="E234" i="3" l="1"/>
  <c r="E235" i="3" l="1"/>
  <c r="E236" i="3" l="1"/>
  <c r="E237" i="3" l="1"/>
  <c r="E238" i="3" l="1"/>
  <c r="E239" i="3" l="1"/>
  <c r="E240" i="3" l="1"/>
  <c r="E241" i="3" l="1"/>
  <c r="E242" i="3" l="1"/>
  <c r="E243" i="3" l="1"/>
  <c r="E244" i="3" l="1"/>
  <c r="E245" i="3" l="1"/>
  <c r="E246" i="3" l="1"/>
  <c r="E247" i="3" l="1"/>
  <c r="E248" i="3" l="1"/>
  <c r="E249" i="3" l="1"/>
  <c r="E250" i="3" l="1"/>
  <c r="E251" i="3" l="1"/>
  <c r="E252" i="3" l="1"/>
  <c r="E253" i="3" l="1"/>
  <c r="E254" i="3" l="1"/>
  <c r="E255" i="3" l="1"/>
  <c r="E256" i="3" l="1"/>
  <c r="E257" i="3" l="1"/>
  <c r="E258" i="3" l="1"/>
  <c r="E259" i="3" l="1"/>
  <c r="E260" i="3" l="1"/>
  <c r="E261" i="3" l="1"/>
  <c r="E262" i="3" l="1"/>
  <c r="E263" i="3" l="1"/>
  <c r="E264" i="3" l="1"/>
  <c r="E265" i="3" l="1"/>
  <c r="E266" i="3" l="1"/>
  <c r="E267" i="3" l="1"/>
  <c r="E268" i="3" l="1"/>
  <c r="E269" i="3" l="1"/>
  <c r="E270" i="3" l="1"/>
  <c r="E271" i="3" l="1"/>
  <c r="E272" i="3" l="1"/>
  <c r="E273" i="3" l="1"/>
  <c r="E274" i="3" l="1"/>
  <c r="E275" i="3" l="1"/>
  <c r="E276" i="3" l="1"/>
  <c r="E277" i="3" l="1"/>
  <c r="E278" i="3" l="1"/>
  <c r="E279" i="3" l="1"/>
  <c r="E280" i="3" l="1"/>
  <c r="E281" i="3" l="1"/>
  <c r="E282" i="3" l="1"/>
  <c r="E283" i="3" l="1"/>
  <c r="E284" i="3" l="1"/>
  <c r="E285" i="3" l="1"/>
  <c r="E286" i="3" l="1"/>
  <c r="E287" i="3" l="1"/>
  <c r="E288" i="3" l="1"/>
  <c r="E289" i="3" l="1"/>
  <c r="E290" i="3" l="1"/>
  <c r="E291" i="3" l="1"/>
  <c r="E292" i="3" l="1"/>
  <c r="E293" i="3" l="1"/>
  <c r="E294" i="3" l="1"/>
  <c r="E296" i="3" l="1"/>
  <c r="E297" i="3" l="1"/>
  <c r="E298" i="3" l="1"/>
  <c r="E299" i="3" l="1"/>
  <c r="E300" i="3" l="1"/>
  <c r="E301" i="3" l="1"/>
  <c r="E302" i="3" l="1"/>
  <c r="E303" i="3" l="1"/>
  <c r="E304" i="3" l="1"/>
  <c r="E305" i="3" l="1"/>
  <c r="E306" i="3" l="1"/>
  <c r="E307" i="3" l="1"/>
  <c r="E308" i="3" l="1"/>
  <c r="E309" i="3" l="1"/>
  <c r="E310" i="3" l="1"/>
  <c r="E311" i="3" l="1"/>
  <c r="E312" i="3" l="1"/>
  <c r="E313" i="3" l="1"/>
  <c r="E314" i="3" l="1"/>
  <c r="E315" i="3" l="1"/>
  <c r="E316" i="3" l="1"/>
  <c r="E317" i="3" l="1"/>
  <c r="E318" i="3" l="1"/>
  <c r="E319" i="3" l="1"/>
  <c r="E320" i="3" l="1"/>
  <c r="E321" i="3" l="1"/>
  <c r="E322" i="3" l="1"/>
  <c r="E323" i="3" l="1"/>
  <c r="E324" i="3" l="1"/>
  <c r="E325" i="3" l="1"/>
  <c r="E326" i="3" l="1"/>
  <c r="E327" i="3" l="1"/>
  <c r="E328" i="3" l="1"/>
  <c r="E329" i="3" l="1"/>
  <c r="E330" i="3" l="1"/>
  <c r="E331" i="3" l="1"/>
  <c r="E332" i="3" l="1"/>
  <c r="E333" i="3" l="1"/>
  <c r="E334" i="3" l="1"/>
  <c r="E335" i="3" l="1"/>
  <c r="E336" i="3" l="1"/>
  <c r="E337" i="3" l="1"/>
  <c r="E338" i="3" l="1"/>
  <c r="E339" i="3" l="1"/>
  <c r="E340" i="3" l="1"/>
  <c r="E341" i="3" l="1"/>
  <c r="E342" i="3" l="1"/>
  <c r="E343" i="3" l="1"/>
  <c r="E344" i="3" l="1"/>
  <c r="E345" i="3" l="1"/>
  <c r="E346" i="3" l="1"/>
  <c r="E347" i="3" l="1"/>
  <c r="E348" i="3" l="1"/>
  <c r="E349" i="3" l="1"/>
  <c r="E350" i="3" l="1"/>
  <c r="E351" i="3" l="1"/>
  <c r="E352" i="3" l="1"/>
  <c r="E353" i="3" l="1"/>
  <c r="E354" i="3" l="1"/>
  <c r="E355" i="3" l="1"/>
  <c r="E356" i="3" l="1"/>
  <c r="E357" i="3" l="1"/>
  <c r="E358" i="3" l="1"/>
  <c r="E359" i="3" l="1"/>
  <c r="E360" i="3" l="1"/>
  <c r="E361" i="3" l="1"/>
  <c r="E362" i="3" l="1"/>
  <c r="E363" i="3" l="1"/>
  <c r="E364" i="3" l="1"/>
  <c r="E365" i="3" l="1"/>
  <c r="E366" i="3" l="1"/>
  <c r="E367" i="3" l="1"/>
  <c r="E368" i="3" l="1"/>
  <c r="E369" i="3" l="1"/>
  <c r="E370" i="3" l="1"/>
  <c r="E371" i="3" l="1"/>
  <c r="E372" i="3" l="1"/>
  <c r="E373" i="3" l="1"/>
  <c r="E374" i="3" l="1"/>
  <c r="E375" i="3" l="1"/>
  <c r="E376" i="3" l="1"/>
  <c r="E377" i="3" l="1"/>
  <c r="E378" i="3" l="1"/>
  <c r="E379" i="3" l="1"/>
  <c r="E380" i="3" l="1"/>
  <c r="E381" i="3" l="1"/>
  <c r="E382" i="3" l="1"/>
  <c r="E383" i="3" l="1"/>
  <c r="E384" i="3" l="1"/>
  <c r="E385" i="3" l="1"/>
  <c r="E386" i="3" l="1"/>
  <c r="E387" i="3" l="1"/>
  <c r="E388" i="3" l="1"/>
  <c r="E389" i="3" l="1"/>
  <c r="E390" i="3" l="1"/>
  <c r="E391" i="3" l="1"/>
  <c r="E392" i="3" l="1"/>
  <c r="E393" i="3" l="1"/>
  <c r="E394" i="3" l="1"/>
  <c r="E395" i="3" l="1"/>
  <c r="E396" i="3" l="1"/>
  <c r="E397" i="3" l="1"/>
  <c r="E398" i="3" l="1"/>
  <c r="E399" i="3" l="1"/>
  <c r="E400" i="3" l="1"/>
  <c r="E401" i="3" l="1"/>
  <c r="E402" i="3" l="1"/>
  <c r="E403" i="3" l="1"/>
  <c r="E404" i="3" l="1"/>
  <c r="E405" i="3" l="1"/>
  <c r="E406" i="3" l="1"/>
  <c r="E407" i="3" l="1"/>
  <c r="E408" i="3" l="1"/>
  <c r="E409" i="3" l="1"/>
  <c r="E410" i="3" l="1"/>
  <c r="E411" i="3" l="1"/>
  <c r="E412" i="3" l="1"/>
  <c r="E413" i="3" l="1"/>
  <c r="E414" i="3" l="1"/>
  <c r="E415" i="3" l="1"/>
  <c r="E416" i="3" l="1"/>
  <c r="E417" i="3" l="1"/>
  <c r="E418" i="3" l="1"/>
  <c r="E419" i="3" l="1"/>
  <c r="E420" i="3" l="1"/>
  <c r="E421" i="3" l="1"/>
  <c r="E422" i="3" l="1"/>
  <c r="E423" i="3" l="1"/>
  <c r="E424" i="3" l="1"/>
  <c r="E425" i="3" l="1"/>
  <c r="E426" i="3" l="1"/>
  <c r="E427" i="3" l="1"/>
  <c r="E428" i="3" l="1"/>
  <c r="E429" i="3" l="1"/>
  <c r="E430" i="3" l="1"/>
  <c r="E431" i="3" l="1"/>
  <c r="E432" i="3" l="1"/>
  <c r="E433" i="3" l="1"/>
  <c r="E434" i="3" l="1"/>
  <c r="E435" i="3" l="1"/>
  <c r="E436" i="3" l="1"/>
  <c r="E437" i="3" l="1"/>
  <c r="E438" i="3" l="1"/>
  <c r="E439" i="3" l="1"/>
  <c r="E440" i="3" l="1"/>
  <c r="E441" i="3" l="1"/>
  <c r="E442" i="3" l="1"/>
  <c r="E443" i="3" l="1"/>
  <c r="E444" i="3" l="1"/>
  <c r="E445" i="3" l="1"/>
  <c r="E446" i="3" l="1"/>
  <c r="E447" i="3" l="1"/>
  <c r="E448" i="3" l="1"/>
  <c r="E449" i="3" l="1"/>
  <c r="E450" i="3" l="1"/>
  <c r="E451" i="3" l="1"/>
  <c r="E452" i="3" l="1"/>
  <c r="E453" i="3" l="1"/>
  <c r="E454" i="3" l="1"/>
  <c r="E455" i="3" l="1"/>
  <c r="E456" i="3" l="1"/>
  <c r="E457" i="3" l="1"/>
  <c r="E458" i="3" l="1"/>
  <c r="E459" i="3" l="1"/>
  <c r="E462" i="3" l="1"/>
  <c r="E461" i="3"/>
  <c r="E460" i="3"/>
  <c r="E463" i="3" l="1"/>
  <c r="E464" i="3" l="1"/>
  <c r="E465" i="3" l="1"/>
  <c r="E466" i="3" l="1"/>
  <c r="E467" i="3" l="1"/>
  <c r="E468" i="3" l="1"/>
  <c r="E469" i="3" l="1"/>
  <c r="E470" i="3" l="1"/>
  <c r="E471" i="3" l="1"/>
  <c r="E472" i="3" l="1"/>
  <c r="E473" i="3" l="1"/>
  <c r="E474" i="3" l="1"/>
  <c r="E475" i="3" l="1"/>
  <c r="E476" i="3" l="1"/>
  <c r="E477" i="3" l="1"/>
  <c r="E478" i="3" l="1"/>
  <c r="E479" i="3" l="1"/>
  <c r="E480" i="3" l="1"/>
  <c r="E481" i="3" l="1"/>
  <c r="E482" i="3" l="1"/>
  <c r="E483" i="3" l="1"/>
  <c r="E484" i="3" l="1"/>
  <c r="E485" i="3" l="1"/>
  <c r="E486" i="3" l="1"/>
  <c r="E487" i="3" l="1"/>
  <c r="E488" i="3" l="1"/>
  <c r="E489" i="3" l="1"/>
  <c r="E490" i="3" l="1"/>
  <c r="E491" i="3" l="1"/>
  <c r="E492" i="3" l="1"/>
  <c r="E493" i="3" l="1"/>
  <c r="E494" i="3" l="1"/>
  <c r="E495" i="3" l="1"/>
  <c r="E496" i="3" l="1"/>
  <c r="E497" i="3" l="1"/>
  <c r="E498" i="3" l="1"/>
  <c r="E499" i="3" l="1"/>
  <c r="E500" i="3" l="1"/>
  <c r="E501" i="3" l="1"/>
  <c r="E502" i="3" l="1"/>
  <c r="E503" i="3" l="1"/>
  <c r="E504" i="3" l="1"/>
  <c r="E505" i="3" l="1"/>
  <c r="E506" i="3" l="1"/>
  <c r="E507" i="3" l="1"/>
  <c r="E508" i="3" l="1"/>
  <c r="E509" i="3" l="1"/>
  <c r="E510" i="3" l="1"/>
  <c r="E511" i="3" l="1"/>
  <c r="E512" i="3" l="1"/>
  <c r="E513" i="3" l="1"/>
  <c r="E514" i="3" l="1"/>
  <c r="E515" i="3" l="1"/>
  <c r="E516" i="3" l="1"/>
  <c r="E517" i="3" l="1"/>
  <c r="E518" i="3" l="1"/>
  <c r="E519" i="3" l="1"/>
  <c r="E520" i="3" l="1"/>
  <c r="E521" i="3" l="1"/>
  <c r="E522" i="3" l="1"/>
  <c r="E523" i="3" l="1"/>
  <c r="E524" i="3" l="1"/>
  <c r="E525" i="3" l="1"/>
  <c r="E526" i="3" l="1"/>
  <c r="E527" i="3" l="1"/>
  <c r="E528" i="3" l="1"/>
  <c r="E529" i="3" l="1"/>
  <c r="E530" i="3" l="1"/>
  <c r="E531" i="3" l="1"/>
  <c r="E532" i="3" l="1"/>
  <c r="E533" i="3" l="1"/>
  <c r="E534" i="3" l="1"/>
  <c r="E535" i="3" l="1"/>
  <c r="E536" i="3" l="1"/>
  <c r="E537" i="3" l="1"/>
  <c r="E538" i="3" l="1"/>
  <c r="E539" i="3" l="1"/>
  <c r="E540" i="3" l="1"/>
  <c r="E541" i="3" l="1"/>
  <c r="E542" i="3" l="1"/>
  <c r="E543" i="3" l="1"/>
  <c r="E544" i="3" l="1"/>
  <c r="E545" i="3" l="1"/>
  <c r="E546" i="3" l="1"/>
  <c r="E547" i="3" l="1"/>
  <c r="E548" i="3" l="1"/>
  <c r="E549" i="3" l="1"/>
  <c r="E550" i="3" l="1"/>
  <c r="E551" i="3" l="1"/>
  <c r="E552" i="3" l="1"/>
  <c r="E553" i="3" l="1"/>
  <c r="E554" i="3" l="1"/>
  <c r="E555" i="3" l="1"/>
  <c r="E556" i="3" l="1"/>
  <c r="E557" i="3" l="1"/>
  <c r="E558" i="3" l="1"/>
  <c r="E559" i="3" l="1"/>
  <c r="E560" i="3" l="1"/>
  <c r="E561" i="3" l="1"/>
  <c r="E562" i="3" l="1"/>
  <c r="E563" i="3" l="1"/>
  <c r="E564" i="3" l="1"/>
  <c r="E565" i="3" l="1"/>
  <c r="E566" i="3" l="1"/>
  <c r="E567" i="3" l="1"/>
  <c r="E568" i="3" l="1"/>
  <c r="E569" i="3" l="1"/>
  <c r="E570" i="3" l="1"/>
  <c r="E571" i="3" l="1"/>
  <c r="E572" i="3" l="1"/>
  <c r="E573" i="3" l="1"/>
  <c r="E574" i="3" l="1"/>
  <c r="E575" i="3" l="1"/>
  <c r="E576" i="3" l="1"/>
  <c r="E577" i="3" l="1"/>
  <c r="E578" i="3" l="1"/>
  <c r="E579" i="3" l="1"/>
  <c r="E580" i="3" l="1"/>
  <c r="E581" i="3" l="1"/>
  <c r="E582" i="3" l="1"/>
  <c r="E583" i="3" l="1"/>
  <c r="E584" i="3" l="1"/>
  <c r="E585" i="3" l="1"/>
  <c r="E586" i="3" l="1"/>
  <c r="E587" i="3" l="1"/>
  <c r="E588" i="3" l="1"/>
  <c r="E589" i="3" l="1"/>
  <c r="E590" i="3" l="1"/>
  <c r="E591" i="3" l="1"/>
  <c r="E592" i="3" l="1"/>
  <c r="E593" i="3" l="1"/>
  <c r="E594" i="3" l="1"/>
  <c r="E595" i="3" l="1"/>
  <c r="E596" i="3" l="1"/>
  <c r="E597" i="3" l="1"/>
  <c r="E598" i="3" l="1"/>
  <c r="E599" i="3" l="1"/>
  <c r="E600" i="3" l="1"/>
  <c r="E601" i="3" l="1"/>
  <c r="E602" i="3" l="1"/>
  <c r="E603" i="3" l="1"/>
  <c r="E604" i="3" l="1"/>
  <c r="E605" i="3" l="1"/>
  <c r="E606" i="3" l="1"/>
  <c r="E607" i="3" l="1"/>
  <c r="E608" i="3" l="1"/>
  <c r="E609" i="3" l="1"/>
  <c r="E610" i="3" l="1"/>
  <c r="E611" i="3" l="1"/>
  <c r="E612" i="3" l="1"/>
  <c r="E613" i="3" l="1"/>
  <c r="E614" i="3" l="1"/>
  <c r="E615" i="3" l="1"/>
  <c r="E616" i="3" l="1"/>
  <c r="E617" i="3" l="1"/>
  <c r="E618" i="3" l="1"/>
  <c r="E619" i="3" l="1"/>
  <c r="E620" i="3" l="1"/>
  <c r="E621" i="3" l="1"/>
  <c r="E622" i="3" l="1"/>
  <c r="E623" i="3" l="1"/>
  <c r="E624" i="3" l="1"/>
  <c r="E625" i="3" l="1"/>
  <c r="E626" i="3" l="1"/>
  <c r="E627" i="3" l="1"/>
  <c r="E628" i="3" l="1"/>
  <c r="E629" i="3" l="1"/>
  <c r="E630" i="3" l="1"/>
  <c r="E631" i="3" l="1"/>
  <c r="E632" i="3" l="1"/>
  <c r="E633" i="3" l="1"/>
  <c r="E634" i="3" l="1"/>
  <c r="E635" i="3" l="1"/>
  <c r="E636" i="3" l="1"/>
  <c r="E637" i="3" l="1"/>
  <c r="E638" i="3" l="1"/>
  <c r="E639" i="3" l="1"/>
  <c r="E640" i="3" l="1"/>
  <c r="E641" i="3" l="1"/>
  <c r="E642" i="3" l="1"/>
  <c r="E643" i="3" l="1"/>
  <c r="E644" i="3" l="1"/>
  <c r="E645" i="3" l="1"/>
  <c r="E646" i="3" l="1"/>
  <c r="E647" i="3" l="1"/>
  <c r="E648" i="3" l="1"/>
  <c r="E649" i="3" l="1"/>
  <c r="E650" i="3" l="1"/>
  <c r="E651" i="3" l="1"/>
  <c r="E652" i="3" l="1"/>
  <c r="E653" i="3" l="1"/>
  <c r="E654" i="3" l="1"/>
  <c r="E655" i="3" l="1"/>
  <c r="E656" i="3" l="1"/>
  <c r="E657" i="3" l="1"/>
  <c r="E658" i="3" l="1"/>
  <c r="E659" i="3" l="1"/>
  <c r="E660" i="3" l="1"/>
  <c r="E661" i="3" l="1"/>
  <c r="E662" i="3" l="1"/>
  <c r="E663" i="3" l="1"/>
  <c r="E664" i="3" l="1"/>
  <c r="E665" i="3" l="1"/>
  <c r="E666" i="3" l="1"/>
  <c r="E667" i="3" l="1"/>
  <c r="E668" i="3" l="1"/>
  <c r="E669" i="3" l="1"/>
  <c r="E670" i="3" l="1"/>
  <c r="E671" i="3" l="1"/>
  <c r="E672" i="3" l="1"/>
  <c r="E673" i="3" l="1"/>
  <c r="E674" i="3" l="1"/>
  <c r="E675" i="3" l="1"/>
  <c r="E676" i="3" l="1"/>
  <c r="E677" i="3" l="1"/>
  <c r="E678" i="3" l="1"/>
  <c r="E679" i="3" l="1"/>
  <c r="E680" i="3" l="1"/>
  <c r="E681" i="3" l="1"/>
  <c r="E682" i="3" l="1"/>
  <c r="E683" i="3" l="1"/>
  <c r="E684" i="3" l="1"/>
  <c r="E685" i="3" l="1"/>
  <c r="E686" i="3" l="1"/>
  <c r="E687" i="3" l="1"/>
  <c r="E688" i="3" l="1"/>
  <c r="E689" i="3" l="1"/>
  <c r="E690" i="3" l="1"/>
  <c r="E691" i="3" l="1"/>
  <c r="E692" i="3" l="1"/>
  <c r="E693" i="3" l="1"/>
  <c r="E694" i="3" l="1"/>
  <c r="E695" i="3" l="1"/>
  <c r="E696" i="3" l="1"/>
  <c r="E697" i="3" l="1"/>
  <c r="E698" i="3" l="1"/>
  <c r="E699" i="3" l="1"/>
  <c r="E700" i="3" l="1"/>
  <c r="E701" i="3" l="1"/>
  <c r="E702" i="3" l="1"/>
  <c r="E703" i="3" l="1"/>
  <c r="E704" i="3" l="1"/>
  <c r="E705" i="3" l="1"/>
  <c r="E706" i="3" l="1"/>
  <c r="E707" i="3" l="1"/>
  <c r="E708" i="3" l="1"/>
  <c r="E709" i="3" l="1"/>
  <c r="E710" i="3" l="1"/>
  <c r="E711" i="3" l="1"/>
  <c r="E712" i="3" l="1"/>
  <c r="E713" i="3" l="1"/>
  <c r="E714" i="3" l="1"/>
  <c r="E715" i="3" l="1"/>
  <c r="E716" i="3" l="1"/>
  <c r="E717" i="3" l="1"/>
  <c r="E718" i="3" l="1"/>
  <c r="E719" i="3" l="1"/>
  <c r="E720" i="3" l="1"/>
  <c r="E721" i="3" l="1"/>
  <c r="E722" i="3" l="1"/>
  <c r="E723" i="3" l="1"/>
  <c r="E724" i="3" l="1"/>
  <c r="E725" i="3" l="1"/>
  <c r="E726" i="3" l="1"/>
  <c r="E727" i="3" l="1"/>
  <c r="E728" i="3" l="1"/>
  <c r="E729" i="3" l="1"/>
  <c r="E730" i="3" l="1"/>
  <c r="E731" i="3" l="1"/>
  <c r="E732" i="3" l="1"/>
  <c r="E733" i="3" l="1"/>
  <c r="E734" i="3" l="1"/>
  <c r="E735" i="3" l="1"/>
  <c r="E736" i="3" l="1"/>
  <c r="E737" i="3" l="1"/>
  <c r="E738" i="3" l="1"/>
  <c r="E739" i="3" l="1"/>
  <c r="E740" i="3" l="1"/>
  <c r="E741" i="3" l="1"/>
  <c r="E742" i="3" l="1"/>
  <c r="E743" i="3" l="1"/>
  <c r="E744" i="3" l="1"/>
  <c r="E745" i="3" l="1"/>
  <c r="E746" i="3" l="1"/>
  <c r="E747" i="3" l="1"/>
  <c r="E748" i="3" l="1"/>
  <c r="E749" i="3" l="1"/>
  <c r="E750" i="3" l="1"/>
  <c r="E751" i="3" l="1"/>
  <c r="E752" i="3" l="1"/>
  <c r="E753" i="3" l="1"/>
  <c r="E754" i="3" l="1"/>
  <c r="E755" i="3" l="1"/>
  <c r="E756" i="3" l="1"/>
  <c r="E757" i="3" l="1"/>
  <c r="E758" i="3" l="1"/>
  <c r="E759" i="3" l="1"/>
  <c r="E760" i="3" l="1"/>
  <c r="E761" i="3" l="1"/>
  <c r="E762" i="3" l="1"/>
  <c r="E763" i="3" l="1"/>
  <c r="E764" i="3" l="1"/>
  <c r="E765" i="3" l="1"/>
  <c r="E766" i="3" l="1"/>
  <c r="E767" i="3" l="1"/>
  <c r="E768" i="3" l="1"/>
  <c r="E769" i="3" l="1"/>
  <c r="E770" i="3" l="1"/>
  <c r="E771" i="3" l="1"/>
  <c r="E772" i="3" l="1"/>
  <c r="E773" i="3" l="1"/>
  <c r="E774" i="3" l="1"/>
  <c r="E775" i="3" l="1"/>
  <c r="E776" i="3" l="1"/>
  <c r="E777" i="3" l="1"/>
  <c r="E778" i="3" l="1"/>
  <c r="E779" i="3" l="1"/>
  <c r="E780" i="3" l="1"/>
  <c r="E781" i="3" l="1"/>
  <c r="E782" i="3" l="1"/>
  <c r="E783" i="3" l="1"/>
  <c r="E784" i="3" l="1"/>
  <c r="E785" i="3" l="1"/>
  <c r="E786" i="3" l="1"/>
  <c r="E787" i="3" l="1"/>
  <c r="E788" i="3" l="1"/>
  <c r="E789" i="3" l="1"/>
  <c r="E790" i="3" l="1"/>
  <c r="E791" i="3" l="1"/>
  <c r="E792" i="3" l="1"/>
  <c r="E793" i="3" l="1"/>
  <c r="E794" i="3" l="1"/>
  <c r="E795" i="3" l="1"/>
  <c r="E796" i="3" l="1"/>
  <c r="E797" i="3" l="1"/>
  <c r="E798" i="3" l="1"/>
  <c r="E799" i="3" l="1"/>
  <c r="E800" i="3" l="1"/>
  <c r="E801" i="3" l="1"/>
  <c r="E802" i="3" l="1"/>
  <c r="E803" i="3" l="1"/>
  <c r="E804" i="3" l="1"/>
  <c r="E805" i="3" l="1"/>
  <c r="E806" i="3" l="1"/>
  <c r="E807" i="3" l="1"/>
  <c r="E808" i="3" l="1"/>
  <c r="E809" i="3" l="1"/>
  <c r="E810" i="3" l="1"/>
  <c r="E811" i="3" l="1"/>
  <c r="E812" i="3" l="1"/>
  <c r="E813" i="3" l="1"/>
  <c r="E814" i="3" l="1"/>
  <c r="E815" i="3" l="1"/>
  <c r="E816" i="3" l="1"/>
  <c r="E817" i="3" l="1"/>
  <c r="E818" i="3" l="1"/>
  <c r="E819" i="3" l="1"/>
  <c r="E820" i="3" l="1"/>
  <c r="E821" i="3" l="1"/>
  <c r="E822" i="3" l="1"/>
  <c r="E823" i="3" l="1"/>
  <c r="E824" i="3" l="1"/>
  <c r="E825" i="3" l="1"/>
  <c r="E826" i="3" l="1"/>
  <c r="E827" i="3" l="1"/>
  <c r="E828" i="3" l="1"/>
  <c r="E829" i="3" l="1"/>
  <c r="E830" i="3" l="1"/>
  <c r="E831" i="3" l="1"/>
  <c r="E832" i="3" l="1"/>
  <c r="E833" i="3" l="1"/>
  <c r="E834" i="3" l="1"/>
  <c r="E835" i="3" l="1"/>
  <c r="E836" i="3" l="1"/>
  <c r="E837" i="3" l="1"/>
  <c r="E838" i="3" l="1"/>
  <c r="E839" i="3" l="1"/>
  <c r="E840" i="3" l="1"/>
  <c r="E841" i="3" l="1"/>
  <c r="E842" i="3" l="1"/>
  <c r="E843" i="3" l="1"/>
  <c r="E844" i="3" l="1"/>
  <c r="E845" i="3" l="1"/>
  <c r="E846" i="3" l="1"/>
  <c r="E847" i="3" l="1"/>
  <c r="E848" i="3" l="1"/>
  <c r="E849" i="3" l="1"/>
  <c r="E850" i="3" l="1"/>
  <c r="E851" i="3" l="1"/>
  <c r="E852" i="3" l="1"/>
  <c r="E853" i="3" l="1"/>
  <c r="E854" i="3" l="1"/>
  <c r="E855" i="3" l="1"/>
  <c r="E856" i="3" l="1"/>
  <c r="E857" i="3" l="1"/>
  <c r="E858" i="3" l="1"/>
  <c r="E859" i="3" l="1"/>
  <c r="E860" i="3" l="1"/>
  <c r="E861" i="3" l="1"/>
  <c r="E862" i="3" l="1"/>
  <c r="E863" i="3" l="1"/>
  <c r="E864" i="3" l="1"/>
  <c r="E865" i="3" l="1"/>
  <c r="E866" i="3" l="1"/>
  <c r="E867" i="3" l="1"/>
  <c r="E868" i="3" l="1"/>
  <c r="E869" i="3" l="1"/>
  <c r="E870" i="3" l="1"/>
  <c r="E871" i="3" l="1"/>
  <c r="E872" i="3" l="1"/>
  <c r="E873" i="3" l="1"/>
  <c r="E874" i="3" l="1"/>
  <c r="E875" i="3" l="1"/>
  <c r="E876" i="3" l="1"/>
  <c r="E877" i="3" l="1"/>
  <c r="E878" i="3" l="1"/>
  <c r="E879" i="3" l="1"/>
  <c r="E880" i="3" l="1"/>
  <c r="E881" i="3" l="1"/>
  <c r="E882" i="3" l="1"/>
  <c r="E883" i="3" l="1"/>
  <c r="E884" i="3" l="1"/>
  <c r="E885" i="3" l="1"/>
  <c r="E886" i="3" l="1"/>
  <c r="E887" i="3" l="1"/>
  <c r="E888" i="3" l="1"/>
  <c r="E889" i="3" l="1"/>
  <c r="E890" i="3" l="1"/>
  <c r="E891" i="3" l="1"/>
  <c r="E892" i="3" l="1"/>
  <c r="E893" i="3" l="1"/>
  <c r="E894" i="3" l="1"/>
  <c r="E895" i="3" l="1"/>
  <c r="E896" i="3" l="1"/>
  <c r="E897" i="3" l="1"/>
  <c r="E898" i="3" l="1"/>
  <c r="E899" i="3" l="1"/>
  <c r="E900" i="3" l="1"/>
  <c r="E901" i="3" l="1"/>
  <c r="E902" i="3" l="1"/>
  <c r="E903" i="3" l="1"/>
  <c r="E904" i="3" l="1"/>
  <c r="E905" i="3" l="1"/>
  <c r="E906" i="3" l="1"/>
  <c r="E907" i="3" l="1"/>
  <c r="E908" i="3" l="1"/>
  <c r="E909" i="3" l="1"/>
  <c r="E910" i="3" l="1"/>
  <c r="E911" i="3" l="1"/>
  <c r="E912" i="3" l="1"/>
  <c r="E913" i="3" l="1"/>
  <c r="E914" i="3" l="1"/>
  <c r="E915" i="3" l="1"/>
  <c r="E916" i="3" l="1"/>
  <c r="E917" i="3" l="1"/>
  <c r="E918" i="3" l="1"/>
  <c r="E919" i="3" l="1"/>
  <c r="E920" i="3" l="1"/>
  <c r="E921" i="3" l="1"/>
  <c r="E922" i="3" l="1"/>
  <c r="E923" i="3" l="1"/>
  <c r="E924" i="3" l="1"/>
  <c r="E925" i="3" l="1"/>
  <c r="E926" i="3" l="1"/>
  <c r="E927" i="3" l="1"/>
  <c r="E928" i="3" l="1"/>
  <c r="E929" i="3" l="1"/>
  <c r="E930" i="3" l="1"/>
  <c r="E931" i="3" l="1"/>
  <c r="E932" i="3" l="1"/>
  <c r="E933" i="3" l="1"/>
  <c r="E934" i="3" l="1"/>
  <c r="E935" i="3" l="1"/>
  <c r="E936" i="3" l="1"/>
  <c r="E937" i="3" l="1"/>
  <c r="E938" i="3" l="1"/>
  <c r="E939" i="3" l="1"/>
  <c r="E940" i="3" l="1"/>
  <c r="E941" i="3" l="1"/>
  <c r="E942" i="3" l="1"/>
  <c r="E943" i="3" l="1"/>
  <c r="E944" i="3" l="1"/>
  <c r="E945" i="3" l="1"/>
  <c r="E946" i="3" l="1"/>
  <c r="E947" i="3" l="1"/>
  <c r="E948" i="3" l="1"/>
  <c r="E949" i="3" l="1"/>
  <c r="E950" i="3" l="1"/>
  <c r="E951" i="3" l="1"/>
  <c r="E952" i="3" l="1"/>
  <c r="E953" i="3" l="1"/>
  <c r="E954" i="3" l="1"/>
  <c r="E955" i="3" l="1"/>
  <c r="E956" i="3" l="1"/>
  <c r="E957" i="3" l="1"/>
  <c r="E958" i="3" l="1"/>
  <c r="E959" i="3" l="1"/>
  <c r="E960" i="3" l="1"/>
  <c r="E961" i="3" l="1"/>
  <c r="E962" i="3" l="1"/>
  <c r="E963" i="3" l="1"/>
  <c r="E964" i="3" l="1"/>
  <c r="E965" i="3" l="1"/>
  <c r="E966" i="3" l="1"/>
  <c r="E967" i="3" l="1"/>
  <c r="E968" i="3" l="1"/>
  <c r="E969" i="3" l="1"/>
  <c r="E970" i="3" l="1"/>
  <c r="E971" i="3" l="1"/>
  <c r="E972" i="3" l="1"/>
  <c r="E973" i="3" l="1"/>
  <c r="E974" i="3" l="1"/>
  <c r="E975" i="3" l="1"/>
  <c r="E976" i="3" l="1"/>
  <c r="E977" i="3" l="1"/>
  <c r="E978" i="3" l="1"/>
  <c r="E979" i="3" l="1"/>
  <c r="E980" i="3" l="1"/>
  <c r="E981" i="3" l="1"/>
  <c r="E982" i="3" l="1"/>
  <c r="E983" i="3" l="1"/>
  <c r="E984" i="3" l="1"/>
  <c r="E985" i="3" l="1"/>
  <c r="E986" i="3" l="1"/>
  <c r="E987" i="3" l="1"/>
  <c r="E988" i="3" l="1"/>
  <c r="E989" i="3" l="1"/>
  <c r="E990" i="3" l="1"/>
  <c r="E991" i="3" l="1"/>
  <c r="E992" i="3" l="1"/>
  <c r="E993" i="3" l="1"/>
  <c r="E994" i="3" l="1"/>
  <c r="E995" i="3" l="1"/>
  <c r="E996" i="3" l="1"/>
  <c r="E997" i="3" l="1"/>
  <c r="E998" i="3" l="1"/>
  <c r="E999" i="3" l="1"/>
  <c r="E1000" i="3" l="1"/>
  <c r="E1001" i="3" l="1"/>
  <c r="E1002" i="3" l="1"/>
  <c r="E1003" i="3" l="1"/>
  <c r="E1004" i="3" l="1"/>
  <c r="E1005" i="3" l="1"/>
  <c r="E1006" i="3" l="1"/>
  <c r="E1007" i="3" l="1"/>
  <c r="E1008" i="3" l="1"/>
  <c r="E1009" i="3" l="1"/>
  <c r="E1010" i="3" l="1"/>
  <c r="E1011" i="3" l="1"/>
  <c r="E1012" i="3" l="1"/>
  <c r="E1013" i="3" l="1"/>
  <c r="E1014" i="3" l="1"/>
  <c r="E1015" i="3" l="1"/>
  <c r="E1016" i="3" l="1"/>
  <c r="E1017" i="3" l="1"/>
  <c r="E1018" i="3" l="1"/>
  <c r="E1019" i="3" l="1"/>
  <c r="E1020" i="3" l="1"/>
  <c r="E1021" i="3" l="1"/>
  <c r="E1022" i="3" l="1"/>
  <c r="E1023" i="3" l="1"/>
  <c r="E1024" i="3" l="1"/>
  <c r="E1025" i="3" l="1"/>
  <c r="E1026" i="3" l="1"/>
  <c r="E1027" i="3" l="1"/>
  <c r="E1028" i="3" l="1"/>
  <c r="E1029" i="3" l="1"/>
  <c r="E1030" i="3" l="1"/>
  <c r="E1031" i="3" l="1"/>
  <c r="E1032" i="3" l="1"/>
  <c r="E1033" i="3" l="1"/>
  <c r="E1034" i="3" l="1"/>
  <c r="E1035" i="3" l="1"/>
  <c r="E1036" i="3" l="1"/>
  <c r="E1037" i="3" l="1"/>
  <c r="E1038" i="3" l="1"/>
  <c r="E1039" i="3" l="1"/>
  <c r="E1040" i="3" l="1"/>
  <c r="E1041" i="3" l="1"/>
  <c r="E1042" i="3" l="1"/>
  <c r="E1043" i="3" l="1"/>
  <c r="E1044" i="3" l="1"/>
  <c r="E1045" i="3" l="1"/>
  <c r="E1046" i="3" l="1"/>
  <c r="E1047" i="3" l="1"/>
  <c r="E1048" i="3" l="1"/>
  <c r="E1049" i="3" l="1"/>
  <c r="E1050" i="3" l="1"/>
  <c r="E1051" i="3" l="1"/>
  <c r="E1052" i="3" l="1"/>
  <c r="E1053" i="3" l="1"/>
  <c r="E1054" i="3" l="1"/>
  <c r="E1055" i="3" l="1"/>
  <c r="E1056" i="3" l="1"/>
  <c r="E1057" i="3" l="1"/>
  <c r="E1058" i="3" l="1"/>
  <c r="E1059" i="3" l="1"/>
  <c r="E1060" i="3" l="1"/>
  <c r="E1061" i="3" l="1"/>
  <c r="E1062" i="3" l="1"/>
  <c r="E1063" i="3" l="1"/>
  <c r="E1064" i="3" l="1"/>
  <c r="E1065" i="3" l="1"/>
  <c r="E1066" i="3" l="1"/>
  <c r="E1067" i="3" l="1"/>
  <c r="E1068" i="3" l="1"/>
  <c r="E1069" i="3" l="1"/>
  <c r="E1070" i="3" l="1"/>
  <c r="E1071" i="3" l="1"/>
  <c r="E1072" i="3" l="1"/>
  <c r="E1073" i="3" l="1"/>
  <c r="E1074" i="3" l="1"/>
  <c r="E1075" i="3" l="1"/>
  <c r="E1076" i="3" l="1"/>
  <c r="E1077" i="3" l="1"/>
  <c r="E1078" i="3" l="1"/>
  <c r="E1079" i="3" l="1"/>
  <c r="E1080" i="3" l="1"/>
  <c r="E1081" i="3" l="1"/>
  <c r="E1082" i="3" l="1"/>
  <c r="E1083" i="3" l="1"/>
  <c r="E1084" i="3" l="1"/>
  <c r="E1085" i="3" l="1"/>
  <c r="E1086" i="3" l="1"/>
  <c r="E1087" i="3" l="1"/>
  <c r="E1088" i="3" l="1"/>
  <c r="E1089" i="3" l="1"/>
  <c r="E1090" i="3" l="1"/>
  <c r="E1091" i="3" l="1"/>
  <c r="E1092" i="3" l="1"/>
  <c r="E1093" i="3" l="1"/>
  <c r="E1094" i="3" l="1"/>
  <c r="E1095" i="3" l="1"/>
  <c r="E1096" i="3" l="1"/>
  <c r="E1097" i="3" l="1"/>
  <c r="E1098" i="3" l="1"/>
  <c r="E1099" i="3" l="1"/>
  <c r="E1100" i="3" l="1"/>
  <c r="E1101" i="3" l="1"/>
  <c r="E1102" i="3" l="1"/>
  <c r="E1103" i="3" l="1"/>
  <c r="E1104" i="3" l="1"/>
  <c r="E1105" i="3" l="1"/>
  <c r="E1106" i="3" l="1"/>
  <c r="E1107" i="3" l="1"/>
  <c r="E1108" i="3" l="1"/>
  <c r="E1109" i="3" l="1"/>
  <c r="E1110" i="3" l="1"/>
  <c r="E1111" i="3" l="1"/>
  <c r="E1112" i="3" l="1"/>
  <c r="E1113" i="3" l="1"/>
  <c r="E1114" i="3" l="1"/>
  <c r="E1115" i="3" l="1"/>
  <c r="E1116" i="3" l="1"/>
  <c r="E1117" i="3" l="1"/>
  <c r="E1118" i="3" l="1"/>
  <c r="E1119" i="3" l="1"/>
  <c r="E1120" i="3" l="1"/>
  <c r="E1121" i="3" l="1"/>
  <c r="E1122" i="3" l="1"/>
  <c r="E1123" i="3" l="1"/>
  <c r="E1124" i="3" l="1"/>
  <c r="E1125" i="3" l="1"/>
  <c r="E1126" i="3" l="1"/>
  <c r="E1127" i="3" l="1"/>
  <c r="E1128" i="3" l="1"/>
  <c r="E1129" i="3" l="1"/>
  <c r="E1130" i="3" l="1"/>
  <c r="E1131" i="3" l="1"/>
  <c r="E1132" i="3" l="1"/>
  <c r="E1133" i="3" l="1"/>
  <c r="E1134" i="3" l="1"/>
  <c r="E1135" i="3" l="1"/>
  <c r="E1136" i="3" l="1"/>
  <c r="E1137" i="3" l="1"/>
  <c r="E1138" i="3" l="1"/>
  <c r="E1139" i="3" l="1"/>
  <c r="E1140" i="3" l="1"/>
  <c r="E1141" i="3" l="1"/>
  <c r="E1142" i="3" l="1"/>
  <c r="E1143" i="3" l="1"/>
  <c r="E1144" i="3" l="1"/>
  <c r="E1145" i="3" l="1"/>
  <c r="E1146" i="3" l="1"/>
  <c r="E1147" i="3" l="1"/>
  <c r="E1148" i="3" l="1"/>
  <c r="E1149" i="3" l="1"/>
  <c r="E1150" i="3" l="1"/>
  <c r="E1151" i="3" l="1"/>
  <c r="E1152" i="3" l="1"/>
  <c r="E1153" i="3" l="1"/>
  <c r="E1154" i="3" l="1"/>
  <c r="E1155" i="3" l="1"/>
  <c r="E1156" i="3" l="1"/>
  <c r="E1157" i="3" l="1"/>
  <c r="E1158" i="3" l="1"/>
  <c r="E1159" i="3" l="1"/>
  <c r="E1160" i="3" l="1"/>
  <c r="E1161" i="3" l="1"/>
  <c r="E1162" i="3" l="1"/>
  <c r="E1163" i="3" l="1"/>
  <c r="E1164" i="3" l="1"/>
  <c r="E1165" i="3" l="1"/>
  <c r="E1166" i="3" l="1"/>
  <c r="E1167" i="3" l="1"/>
  <c r="E1168" i="3" l="1"/>
  <c r="E1169" i="3" l="1"/>
  <c r="E1170" i="3" l="1"/>
  <c r="E1171" i="3" l="1"/>
  <c r="E1172" i="3" l="1"/>
  <c r="E1173" i="3" l="1"/>
  <c r="E1174" i="3" l="1"/>
  <c r="E1175" i="3" l="1"/>
  <c r="E1176" i="3" l="1"/>
  <c r="E1177" i="3" l="1"/>
  <c r="E1178" i="3" l="1"/>
  <c r="E1179" i="3" l="1"/>
  <c r="E1180" i="3" l="1"/>
  <c r="E1181" i="3" l="1"/>
  <c r="E1182" i="3" l="1"/>
  <c r="E1183" i="3" l="1"/>
  <c r="E1184" i="3" l="1"/>
  <c r="E1185" i="3" l="1"/>
  <c r="E1186" i="3" l="1"/>
  <c r="E1187" i="3" l="1"/>
  <c r="E1188" i="3" l="1"/>
  <c r="E1189" i="3" l="1"/>
  <c r="E1190" i="3" l="1"/>
  <c r="E1191" i="3" l="1"/>
  <c r="E1192" i="3" l="1"/>
  <c r="E1193" i="3" l="1"/>
  <c r="E1194" i="3" l="1"/>
  <c r="E1195" i="3" l="1"/>
  <c r="E1196" i="3" l="1"/>
  <c r="E1197" i="3" l="1"/>
  <c r="E1198" i="3" l="1"/>
  <c r="E1199" i="3" l="1"/>
  <c r="E1200" i="3" l="1"/>
  <c r="E1201" i="3" l="1"/>
  <c r="E1202" i="3" l="1"/>
  <c r="E1203" i="3" l="1"/>
  <c r="E1204" i="3" l="1"/>
  <c r="E1205" i="3" l="1"/>
  <c r="E1206" i="3" l="1"/>
  <c r="E1207" i="3" l="1"/>
  <c r="E1208" i="3" l="1"/>
  <c r="E1209" i="3" l="1"/>
  <c r="E1210" i="3" l="1"/>
  <c r="E1211" i="3" l="1"/>
  <c r="E1212" i="3" l="1"/>
  <c r="E1213" i="3" l="1"/>
  <c r="E1214" i="3" l="1"/>
  <c r="E1215" i="3" l="1"/>
  <c r="E1216" i="3" l="1"/>
  <c r="E1217" i="3" l="1"/>
  <c r="E1218" i="3" l="1"/>
  <c r="E1219" i="3" l="1"/>
  <c r="E1220" i="3" l="1"/>
  <c r="E1221" i="3" l="1"/>
  <c r="E1222" i="3" l="1"/>
  <c r="E1223" i="3" l="1"/>
  <c r="E1224" i="3" l="1"/>
  <c r="E1225" i="3" l="1"/>
  <c r="E1226" i="3" l="1"/>
  <c r="E1227" i="3" l="1"/>
  <c r="E1228" i="3" l="1"/>
  <c r="E1229" i="3" l="1"/>
  <c r="E1230" i="3" l="1"/>
  <c r="E1231" i="3" l="1"/>
  <c r="E1232" i="3" l="1"/>
  <c r="E1233" i="3" l="1"/>
  <c r="E1234" i="3" l="1"/>
  <c r="E1235" i="3" l="1"/>
  <c r="E1236" i="3" l="1"/>
  <c r="E1237" i="3" l="1"/>
  <c r="E1238" i="3" l="1"/>
  <c r="E1239" i="3" l="1"/>
  <c r="E1240" i="3" l="1"/>
  <c r="E1241" i="3" l="1"/>
  <c r="E1242" i="3" l="1"/>
  <c r="E1243" i="3" l="1"/>
  <c r="E1244" i="3" l="1"/>
  <c r="E1245" i="3" l="1"/>
  <c r="E1246" i="3" l="1"/>
  <c r="E1247" i="3" l="1"/>
  <c r="E1248" i="3" l="1"/>
  <c r="E1249" i="3" l="1"/>
  <c r="E1250" i="3" l="1"/>
  <c r="E1251" i="3" l="1"/>
  <c r="E1252" i="3" l="1"/>
  <c r="E1253" i="3" l="1"/>
  <c r="E1254" i="3" l="1"/>
  <c r="E1255" i="3" l="1"/>
  <c r="E1256" i="3" l="1"/>
  <c r="E1257" i="3" l="1"/>
  <c r="E1258" i="3" l="1"/>
  <c r="E1259" i="3" l="1"/>
  <c r="E1260" i="3" l="1"/>
  <c r="E1261" i="3" l="1"/>
  <c r="E1262" i="3" l="1"/>
  <c r="E1263" i="3" l="1"/>
  <c r="E1264" i="3" l="1"/>
  <c r="E1265" i="3" l="1"/>
  <c r="E1266" i="3" l="1"/>
  <c r="E1267" i="3" l="1"/>
  <c r="E1268" i="3" l="1"/>
  <c r="E1269" i="3" l="1"/>
  <c r="E1270" i="3" l="1"/>
  <c r="E1271" i="3" l="1"/>
  <c r="E1272" i="3" l="1"/>
  <c r="E1273" i="3" l="1"/>
  <c r="E1274" i="3" l="1"/>
  <c r="E1275" i="3" l="1"/>
  <c r="E1276" i="3" l="1"/>
  <c r="E1277" i="3" l="1"/>
  <c r="E1278" i="3" l="1"/>
  <c r="E1279" i="3" l="1"/>
  <c r="E1280" i="3" l="1"/>
  <c r="E1281" i="3" l="1"/>
  <c r="E1282" i="3" l="1"/>
  <c r="E1283" i="3" l="1"/>
  <c r="E1284" i="3" l="1"/>
  <c r="E1285" i="3" l="1"/>
  <c r="E1286" i="3" l="1"/>
  <c r="E1287" i="3" l="1"/>
  <c r="E1288" i="3" l="1"/>
  <c r="E1289" i="3" l="1"/>
  <c r="E1290" i="3" l="1"/>
  <c r="E1291" i="3" l="1"/>
  <c r="E1292" i="3" l="1"/>
  <c r="E1293" i="3" l="1"/>
  <c r="E1294" i="3" l="1"/>
  <c r="E1295" i="3" l="1"/>
  <c r="E1296" i="3" l="1"/>
  <c r="E1297" i="3" l="1"/>
  <c r="E1298" i="3" l="1"/>
  <c r="E1299" i="3" l="1"/>
  <c r="E1300" i="3" l="1"/>
  <c r="E1301" i="3" l="1"/>
  <c r="E1302" i="3" l="1"/>
  <c r="E1303" i="3" l="1"/>
  <c r="E1304" i="3" l="1"/>
  <c r="E1305" i="3" l="1"/>
  <c r="E1306" i="3" l="1"/>
  <c r="E1307" i="3" l="1"/>
  <c r="E1308" i="3" l="1"/>
  <c r="E1309" i="3" l="1"/>
  <c r="E1310" i="3" l="1"/>
  <c r="E1311" i="3" l="1"/>
  <c r="E1312" i="3" l="1"/>
  <c r="E1313" i="3" l="1"/>
  <c r="E1314" i="3" l="1"/>
  <c r="E1315" i="3" l="1"/>
  <c r="E1316" i="3" l="1"/>
  <c r="E1317" i="3" l="1"/>
  <c r="E1318" i="3" l="1"/>
  <c r="E1319" i="3" l="1"/>
  <c r="E1320" i="3" l="1"/>
  <c r="E1321" i="3" l="1"/>
  <c r="E1322" i="3" l="1"/>
  <c r="E1323" i="3" l="1"/>
  <c r="E1324" i="3" l="1"/>
  <c r="E1325" i="3" l="1"/>
  <c r="E1326" i="3" l="1"/>
  <c r="E1327" i="3" l="1"/>
  <c r="E1328" i="3" l="1"/>
  <c r="E1329" i="3" l="1"/>
  <c r="E1330" i="3" l="1"/>
  <c r="E1331" i="3" l="1"/>
  <c r="E1332" i="3" l="1"/>
  <c r="E1333" i="3" l="1"/>
  <c r="E1334" i="3" l="1"/>
  <c r="E1335" i="3" l="1"/>
  <c r="E1336" i="3" l="1"/>
  <c r="E1337" i="3" l="1"/>
  <c r="E1338" i="3" l="1"/>
  <c r="E1339" i="3" l="1"/>
  <c r="E1340" i="3" l="1"/>
  <c r="E1341" i="3" l="1"/>
  <c r="E1342" i="3" l="1"/>
  <c r="E1343" i="3" l="1"/>
  <c r="E1344" i="3" l="1"/>
  <c r="E1345" i="3" l="1"/>
  <c r="E1346" i="3" l="1"/>
  <c r="E1347" i="3" l="1"/>
  <c r="E1348" i="3" l="1"/>
  <c r="E1349" i="3" l="1"/>
  <c r="E1350" i="3" l="1"/>
  <c r="E1351" i="3" l="1"/>
  <c r="E1352" i="3" l="1"/>
  <c r="E1353" i="3" l="1"/>
  <c r="E1354" i="3" l="1"/>
  <c r="E1355" i="3" l="1"/>
  <c r="E1356" i="3" l="1"/>
  <c r="E1357" i="3" l="1"/>
  <c r="E1358" i="3" l="1"/>
  <c r="E1359" i="3" l="1"/>
  <c r="E1360" i="3" l="1"/>
  <c r="E1361" i="3" l="1"/>
  <c r="E1362" i="3" l="1"/>
  <c r="E1363" i="3" l="1"/>
  <c r="E1364" i="3" l="1"/>
  <c r="E1365" i="3" l="1"/>
  <c r="E1366" i="3" l="1"/>
  <c r="E1367" i="3" l="1"/>
  <c r="E1368" i="3" l="1"/>
  <c r="E1369" i="3" l="1"/>
  <c r="E1370" i="3" l="1"/>
  <c r="E1371" i="3" l="1"/>
  <c r="E1372" i="3" l="1"/>
  <c r="E1373" i="3" l="1"/>
  <c r="E1374" i="3" l="1"/>
  <c r="E1375" i="3" l="1"/>
  <c r="A9" i="5" s="1"/>
  <c r="E1376" i="3" l="1"/>
  <c r="E1377" i="3" l="1"/>
  <c r="E1378" i="3" l="1"/>
  <c r="E1379" i="3" l="1"/>
  <c r="E1380" i="3" l="1"/>
  <c r="E1381" i="3" l="1"/>
  <c r="E1382" i="3" l="1"/>
  <c r="E1383" i="3" l="1"/>
  <c r="E1384" i="3" l="1"/>
  <c r="E1385" i="3" l="1"/>
  <c r="E1386" i="3" l="1"/>
  <c r="E1387" i="3" l="1"/>
  <c r="E1388" i="3" l="1"/>
  <c r="E1389" i="3" l="1"/>
  <c r="E1390" i="3" l="1"/>
  <c r="E1391" i="3" l="1"/>
  <c r="E1392" i="3" l="1"/>
  <c r="E1393" i="3" l="1"/>
  <c r="E1394" i="3" l="1"/>
  <c r="E1395" i="3" l="1"/>
  <c r="E1396" i="3" l="1"/>
  <c r="E1397" i="3" l="1"/>
  <c r="E1398" i="3" l="1"/>
  <c r="E1399" i="3" l="1"/>
  <c r="E1400" i="3" l="1"/>
  <c r="E1401" i="3" l="1"/>
  <c r="E1402" i="3" l="1"/>
  <c r="E1403" i="3" l="1"/>
  <c r="E1404" i="3" l="1"/>
  <c r="E1405" i="3" l="1"/>
  <c r="E1406" i="3" l="1"/>
  <c r="E1407" i="3" l="1"/>
  <c r="E1408" i="3" l="1"/>
  <c r="E1409" i="3" l="1"/>
  <c r="E1410" i="3" l="1"/>
  <c r="E1411" i="3" l="1"/>
  <c r="E1412" i="3" l="1"/>
  <c r="E1413" i="3" l="1"/>
  <c r="E1414" i="3" l="1"/>
  <c r="E1415" i="3" l="1"/>
  <c r="E1416" i="3" l="1"/>
  <c r="E1417" i="3" l="1"/>
  <c r="E1418" i="3" l="1"/>
  <c r="E1419" i="3" l="1"/>
  <c r="E1420" i="3" l="1"/>
  <c r="E1421" i="3" l="1"/>
  <c r="E1422" i="3" l="1"/>
  <c r="E1423" i="3" l="1"/>
  <c r="E1424" i="3" l="1"/>
  <c r="E1425" i="3" l="1"/>
  <c r="E1426" i="3" l="1"/>
  <c r="E1427" i="3" l="1"/>
  <c r="E1428" i="3" l="1"/>
  <c r="E1429" i="3" l="1"/>
  <c r="E1430" i="3" l="1"/>
  <c r="E1431" i="3" l="1"/>
  <c r="E1432" i="3" l="1"/>
  <c r="E1433" i="3" l="1"/>
  <c r="E1434" i="3" l="1"/>
  <c r="E1435" i="3" l="1"/>
  <c r="E1436" i="3" l="1"/>
  <c r="E1437" i="3" l="1"/>
  <c r="E1438" i="3" l="1"/>
  <c r="E1439" i="3" l="1"/>
  <c r="E1440" i="3" l="1"/>
  <c r="E1441" i="3" l="1"/>
  <c r="E1442" i="3" l="1"/>
  <c r="E1443" i="3" l="1"/>
  <c r="E1444" i="3" l="1"/>
  <c r="E1445" i="3" l="1"/>
  <c r="E1446" i="3" l="1"/>
  <c r="E1447" i="3" l="1"/>
  <c r="E1448" i="3" l="1"/>
  <c r="E1449" i="3" l="1"/>
  <c r="E1450" i="3" l="1"/>
  <c r="E1451" i="3" l="1"/>
  <c r="E1452" i="3" l="1"/>
  <c r="E1453" i="3" l="1"/>
  <c r="E1454" i="3" l="1"/>
  <c r="E1455" i="3" l="1"/>
  <c r="E1456" i="3" l="1"/>
  <c r="E1457" i="3" l="1"/>
  <c r="E1458" i="3" l="1"/>
  <c r="E1459" i="3" l="1"/>
  <c r="E1460" i="3" l="1"/>
  <c r="E1461" i="3" l="1"/>
  <c r="E1462" i="3" l="1"/>
  <c r="E1463" i="3" l="1"/>
  <c r="E1464" i="3" l="1"/>
  <c r="E1465" i="3" l="1"/>
  <c r="E1466" i="3" l="1"/>
  <c r="E1467" i="3" l="1"/>
  <c r="E1468" i="3" l="1"/>
  <c r="E1469" i="3" l="1"/>
  <c r="E1470" i="3" l="1"/>
  <c r="E1471" i="3" l="1"/>
  <c r="E1472" i="3" l="1"/>
  <c r="E1473" i="3" l="1"/>
  <c r="E1474" i="3" l="1"/>
  <c r="E1475" i="3" l="1"/>
  <c r="E1476" i="3" l="1"/>
  <c r="E1477" i="3" l="1"/>
  <c r="E1478" i="3" l="1"/>
  <c r="E1479" i="3" l="1"/>
  <c r="E1480" i="3" l="1"/>
  <c r="A66" i="8" l="1"/>
  <c r="A70" i="8"/>
  <c r="A193" i="8"/>
  <c r="A74" i="8"/>
  <c r="A152" i="8"/>
  <c r="A45" i="8"/>
  <c r="A24" i="8"/>
  <c r="A118" i="8"/>
  <c r="A38" i="8"/>
  <c r="A63" i="8"/>
  <c r="A120" i="8"/>
  <c r="A111" i="8"/>
  <c r="A144" i="8"/>
  <c r="A34" i="8"/>
  <c r="A149" i="8"/>
  <c r="A162" i="8"/>
  <c r="A33" i="8"/>
  <c r="A108" i="8"/>
  <c r="A154" i="8"/>
  <c r="A175" i="8"/>
  <c r="A44" i="8"/>
  <c r="A50" i="8"/>
  <c r="A10" i="8"/>
  <c r="A76" i="8"/>
  <c r="A80" i="8"/>
  <c r="A86" i="8"/>
  <c r="A31" i="8"/>
  <c r="A61" i="8"/>
  <c r="A37" i="8"/>
  <c r="A81" i="8"/>
  <c r="A171" i="8"/>
  <c r="A79" i="8"/>
  <c r="A196" i="8"/>
  <c r="A40" i="8"/>
  <c r="A95" i="8"/>
  <c r="A172" i="8"/>
  <c r="A15" i="8"/>
  <c r="A85" i="8"/>
  <c r="A140" i="8"/>
  <c r="A155" i="8"/>
  <c r="A136" i="8"/>
  <c r="A156" i="8"/>
  <c r="A190" i="8"/>
  <c r="A161" i="8"/>
  <c r="A5" i="8"/>
  <c r="A130" i="8"/>
  <c r="A164" i="8"/>
  <c r="A177" i="8"/>
  <c r="A158" i="8"/>
  <c r="A145" i="8"/>
  <c r="A125" i="8"/>
  <c r="A77" i="8"/>
  <c r="A73" i="8"/>
  <c r="A17" i="8"/>
  <c r="A60" i="8"/>
  <c r="A4" i="8"/>
  <c r="A184" i="8"/>
  <c r="A78" i="8"/>
  <c r="A192" i="8"/>
  <c r="A88" i="8"/>
  <c r="A157" i="8"/>
  <c r="A178" i="8"/>
  <c r="A97" i="8"/>
  <c r="A180" i="8"/>
  <c r="A39" i="8"/>
  <c r="A14" i="8"/>
  <c r="A109" i="8"/>
  <c r="A49" i="8"/>
  <c r="A174" i="8"/>
  <c r="A129" i="8"/>
  <c r="A165" i="8"/>
  <c r="A102" i="8"/>
  <c r="A67" i="8"/>
  <c r="A123" i="8"/>
  <c r="A183" i="8"/>
  <c r="A160" i="8"/>
  <c r="A181" i="8"/>
  <c r="A195" i="8"/>
  <c r="A137" i="8"/>
  <c r="A21" i="8"/>
  <c r="A93" i="8"/>
  <c r="A48" i="8"/>
  <c r="A72" i="8"/>
  <c r="A100" i="8"/>
  <c r="A126" i="8"/>
  <c r="A90" i="8"/>
  <c r="A198" i="8"/>
  <c r="A71" i="8"/>
  <c r="A176" i="8"/>
  <c r="A191" i="8"/>
  <c r="A42" i="8"/>
  <c r="A115" i="8"/>
  <c r="A36" i="8"/>
  <c r="A53" i="8"/>
  <c r="A182" i="8"/>
  <c r="A83" i="8"/>
  <c r="A116" i="8"/>
  <c r="A185" i="8"/>
  <c r="A121" i="8"/>
  <c r="A147" i="8"/>
  <c r="A27" i="8"/>
  <c r="A168" i="8"/>
  <c r="A114" i="8"/>
  <c r="A167" i="8"/>
  <c r="A112" i="8"/>
  <c r="A170" i="8"/>
  <c r="A135" i="8"/>
  <c r="A16" i="8"/>
  <c r="A82" i="8"/>
  <c r="A69" i="8"/>
  <c r="A92" i="8"/>
  <c r="A89" i="8"/>
  <c r="A153" i="8"/>
  <c r="A30" i="8"/>
  <c r="A104" i="8"/>
  <c r="A101" i="8"/>
  <c r="A113" i="8"/>
  <c r="A197" i="8"/>
  <c r="A9" i="8"/>
  <c r="A187" i="8"/>
  <c r="A91" i="8"/>
  <c r="A84" i="8"/>
  <c r="A150" i="8"/>
  <c r="A35" i="8"/>
  <c r="A132" i="8"/>
  <c r="A141" i="8"/>
  <c r="A186" i="8"/>
  <c r="A159" i="8"/>
  <c r="A46" i="8"/>
  <c r="A163" i="8"/>
  <c r="A105" i="8"/>
  <c r="A107" i="8"/>
  <c r="A110" i="8"/>
  <c r="A138" i="8"/>
  <c r="A119" i="8"/>
  <c r="A47" i="8"/>
  <c r="A59" i="8"/>
  <c r="A32" i="8"/>
  <c r="A87" i="8"/>
  <c r="A25" i="8"/>
  <c r="A20" i="8"/>
  <c r="A68" i="8"/>
  <c r="A173" i="8"/>
  <c r="A26" i="8"/>
  <c r="A11" i="8"/>
  <c r="A179" i="8"/>
  <c r="A29" i="8"/>
  <c r="A131" i="8"/>
  <c r="A98" i="8"/>
  <c r="A64" i="8"/>
  <c r="A127" i="8"/>
  <c r="A57" i="8"/>
  <c r="A51" i="8"/>
  <c r="A169" i="8"/>
  <c r="A166" i="8"/>
  <c r="A188" i="8"/>
  <c r="A8" i="8"/>
  <c r="A134" i="8"/>
  <c r="A199" i="8"/>
  <c r="A96" i="8"/>
  <c r="A133" i="8"/>
  <c r="A124" i="8"/>
  <c r="A106" i="8"/>
  <c r="A58" i="8"/>
  <c r="A52" i="8"/>
  <c r="A22" i="8"/>
  <c r="A54" i="8"/>
  <c r="A75" i="8"/>
  <c r="A65" i="8"/>
  <c r="A2" i="8"/>
  <c r="A128" i="8"/>
  <c r="A18" i="8"/>
  <c r="A19" i="8"/>
  <c r="A142" i="8"/>
  <c r="A13" i="8"/>
  <c r="A194" i="8"/>
  <c r="A62" i="8"/>
  <c r="A12" i="8"/>
  <c r="A148" i="8"/>
  <c r="A94" i="8"/>
  <c r="A28" i="8"/>
  <c r="A139" i="8"/>
  <c r="A143" i="8"/>
  <c r="A117" i="8"/>
  <c r="A43" i="8"/>
  <c r="A200" i="8"/>
  <c r="A122" i="8"/>
  <c r="A55" i="8"/>
  <c r="A146" i="8"/>
  <c r="A189" i="8"/>
  <c r="A151" i="8"/>
  <c r="A41" i="8"/>
  <c r="A6" i="8"/>
  <c r="A7" i="8"/>
  <c r="A99" i="8"/>
  <c r="A3" i="8"/>
  <c r="A23" i="8"/>
  <c r="A56" i="8"/>
  <c r="A103" i="8"/>
  <c r="C41" i="8" l="1"/>
  <c r="F41" i="1" s="1"/>
  <c r="D41" i="8"/>
  <c r="B41" i="1" s="1"/>
  <c r="A41" i="1" s="1"/>
  <c r="B41" i="8"/>
  <c r="E41" i="1" s="1"/>
  <c r="C117" i="8"/>
  <c r="F117" i="1" s="1"/>
  <c r="B117" i="8"/>
  <c r="E117" i="1" s="1"/>
  <c r="D117" i="8"/>
  <c r="B117" i="1" s="1"/>
  <c r="A117" i="1" s="1"/>
  <c r="D194" i="8"/>
  <c r="B194" i="1" s="1"/>
  <c r="A194" i="1" s="1"/>
  <c r="C194" i="8"/>
  <c r="F194" i="1" s="1"/>
  <c r="B194" i="8"/>
  <c r="E194" i="1" s="1"/>
  <c r="D75" i="8"/>
  <c r="B75" i="1" s="1"/>
  <c r="A75" i="1" s="1"/>
  <c r="C75" i="8"/>
  <c r="F75" i="1" s="1"/>
  <c r="B75" i="8"/>
  <c r="E75" i="1" s="1"/>
  <c r="C96" i="8"/>
  <c r="F96" i="1" s="1"/>
  <c r="B96" i="8"/>
  <c r="E96" i="1" s="1"/>
  <c r="D96" i="8"/>
  <c r="B96" i="1" s="1"/>
  <c r="A96" i="1" s="1"/>
  <c r="B57" i="8"/>
  <c r="E57" i="1" s="1"/>
  <c r="C57" i="8"/>
  <c r="F57" i="1" s="1"/>
  <c r="D57" i="8"/>
  <c r="B57" i="1" s="1"/>
  <c r="A57" i="1" s="1"/>
  <c r="C26" i="8"/>
  <c r="F26" i="1" s="1"/>
  <c r="D26" i="8"/>
  <c r="B26" i="1" s="1"/>
  <c r="A26" i="1" s="1"/>
  <c r="B26" i="8"/>
  <c r="E26" i="1" s="1"/>
  <c r="B47" i="8"/>
  <c r="E47" i="1" s="1"/>
  <c r="D47" i="8"/>
  <c r="B47" i="1" s="1"/>
  <c r="A47" i="1" s="1"/>
  <c r="C47" i="8"/>
  <c r="F47" i="1" s="1"/>
  <c r="C159" i="8"/>
  <c r="F159" i="1" s="1"/>
  <c r="D159" i="8"/>
  <c r="B159" i="1" s="1"/>
  <c r="A159" i="1" s="1"/>
  <c r="B159" i="8"/>
  <c r="E159" i="1" s="1"/>
  <c r="B187" i="8"/>
  <c r="E187" i="1" s="1"/>
  <c r="C187" i="8"/>
  <c r="F187" i="1" s="1"/>
  <c r="D187" i="8"/>
  <c r="B187" i="1" s="1"/>
  <c r="A187" i="1" s="1"/>
  <c r="C89" i="8"/>
  <c r="F89" i="1" s="1"/>
  <c r="D89" i="8"/>
  <c r="B89" i="1" s="1"/>
  <c r="A89" i="1" s="1"/>
  <c r="B89" i="8"/>
  <c r="E89" i="1" s="1"/>
  <c r="B167" i="8"/>
  <c r="E167" i="1" s="1"/>
  <c r="C167" i="8"/>
  <c r="F167" i="1" s="1"/>
  <c r="D167" i="8"/>
  <c r="B167" i="1" s="1"/>
  <c r="A167" i="1" s="1"/>
  <c r="B83" i="8"/>
  <c r="E83" i="1" s="1"/>
  <c r="D83" i="8"/>
  <c r="B83" i="1" s="1"/>
  <c r="A83" i="1" s="1"/>
  <c r="C83" i="8"/>
  <c r="F83" i="1" s="1"/>
  <c r="D71" i="8"/>
  <c r="B71" i="1" s="1"/>
  <c r="A71" i="1" s="1"/>
  <c r="C71" i="8"/>
  <c r="F71" i="1" s="1"/>
  <c r="B71" i="8"/>
  <c r="E71" i="1" s="1"/>
  <c r="D21" i="8"/>
  <c r="B21" i="1" s="1"/>
  <c r="A21" i="1" s="1"/>
  <c r="C21" i="8"/>
  <c r="F21" i="1" s="1"/>
  <c r="B21" i="8"/>
  <c r="E21" i="1" s="1"/>
  <c r="B102" i="8"/>
  <c r="E102" i="1" s="1"/>
  <c r="C102" i="8"/>
  <c r="F102" i="1" s="1"/>
  <c r="D102" i="8"/>
  <c r="B102" i="1" s="1"/>
  <c r="A102" i="1" s="1"/>
  <c r="D180" i="8"/>
  <c r="B180" i="1" s="1"/>
  <c r="A180" i="1" s="1"/>
  <c r="B180" i="8"/>
  <c r="E180" i="1" s="1"/>
  <c r="C180" i="8"/>
  <c r="F180" i="1" s="1"/>
  <c r="D4" i="8"/>
  <c r="B4" i="1" s="1"/>
  <c r="A4" i="1" s="1"/>
  <c r="C4" i="8"/>
  <c r="F4" i="1" s="1"/>
  <c r="B4" i="8"/>
  <c r="E4" i="1" s="1"/>
  <c r="B177" i="8"/>
  <c r="E177" i="1" s="1"/>
  <c r="D177" i="8"/>
  <c r="B177" i="1" s="1"/>
  <c r="A177" i="1" s="1"/>
  <c r="C177" i="8"/>
  <c r="F177" i="1" s="1"/>
  <c r="B155" i="8"/>
  <c r="E155" i="1" s="1"/>
  <c r="C155" i="8"/>
  <c r="F155" i="1" s="1"/>
  <c r="D155" i="8"/>
  <c r="B155" i="1" s="1"/>
  <c r="A155" i="1" s="1"/>
  <c r="B79" i="8"/>
  <c r="E79" i="1" s="1"/>
  <c r="D79" i="8"/>
  <c r="B79" i="1" s="1"/>
  <c r="A79" i="1" s="1"/>
  <c r="C79" i="8"/>
  <c r="F79" i="1" s="1"/>
  <c r="C76" i="8"/>
  <c r="F76" i="1" s="1"/>
  <c r="D76" i="8"/>
  <c r="B76" i="1" s="1"/>
  <c r="A76" i="1" s="1"/>
  <c r="B76" i="8"/>
  <c r="E76" i="1" s="1"/>
  <c r="C162" i="8"/>
  <c r="F162" i="1" s="1"/>
  <c r="B162" i="8"/>
  <c r="E162" i="1" s="1"/>
  <c r="D162" i="8"/>
  <c r="B162" i="1" s="1"/>
  <c r="A162" i="1" s="1"/>
  <c r="B118" i="8"/>
  <c r="E118" i="1" s="1"/>
  <c r="D118" i="8"/>
  <c r="B118" i="1" s="1"/>
  <c r="A118" i="1" s="1"/>
  <c r="C118" i="8"/>
  <c r="F118" i="1" s="1"/>
  <c r="D103" i="8"/>
  <c r="B103" i="1" s="1"/>
  <c r="A103" i="1" s="1"/>
  <c r="B103" i="8"/>
  <c r="E103" i="1" s="1"/>
  <c r="C103" i="8"/>
  <c r="F103" i="1" s="1"/>
  <c r="C151" i="8"/>
  <c r="F151" i="1" s="1"/>
  <c r="D151" i="8"/>
  <c r="B151" i="1" s="1"/>
  <c r="A151" i="1" s="1"/>
  <c r="B151" i="8"/>
  <c r="E151" i="1" s="1"/>
  <c r="C143" i="8"/>
  <c r="F143" i="1" s="1"/>
  <c r="B143" i="8"/>
  <c r="E143" i="1" s="1"/>
  <c r="D143" i="8"/>
  <c r="B143" i="1" s="1"/>
  <c r="A143" i="1" s="1"/>
  <c r="B13" i="8"/>
  <c r="E13" i="1" s="1"/>
  <c r="C13" i="8"/>
  <c r="F13" i="1" s="1"/>
  <c r="D13" i="8"/>
  <c r="B13" i="1" s="1"/>
  <c r="A13" i="1" s="1"/>
  <c r="D54" i="8"/>
  <c r="B54" i="1" s="1"/>
  <c r="A54" i="1" s="1"/>
  <c r="C54" i="8"/>
  <c r="F54" i="1" s="1"/>
  <c r="B54" i="8"/>
  <c r="E54" i="1" s="1"/>
  <c r="B199" i="8"/>
  <c r="E199" i="1" s="1"/>
  <c r="D199" i="8"/>
  <c r="B199" i="1" s="1"/>
  <c r="A199" i="1" s="1"/>
  <c r="C199" i="8"/>
  <c r="F199" i="1" s="1"/>
  <c r="D127" i="8"/>
  <c r="B127" i="1" s="1"/>
  <c r="A127" i="1" s="1"/>
  <c r="B127" i="8"/>
  <c r="E127" i="1" s="1"/>
  <c r="C127" i="8"/>
  <c r="F127" i="1" s="1"/>
  <c r="B173" i="8"/>
  <c r="E173" i="1" s="1"/>
  <c r="D173" i="8"/>
  <c r="B173" i="1" s="1"/>
  <c r="A173" i="1" s="1"/>
  <c r="C173" i="8"/>
  <c r="F173" i="1" s="1"/>
  <c r="D119" i="8"/>
  <c r="B119" i="1" s="1"/>
  <c r="A119" i="1" s="1"/>
  <c r="C119" i="8"/>
  <c r="F119" i="1" s="1"/>
  <c r="B119" i="8"/>
  <c r="E119" i="1" s="1"/>
  <c r="B186" i="8"/>
  <c r="E186" i="1" s="1"/>
  <c r="C186" i="8"/>
  <c r="F186" i="1" s="1"/>
  <c r="D186" i="8"/>
  <c r="B186" i="1" s="1"/>
  <c r="A186" i="1" s="1"/>
  <c r="B9" i="8"/>
  <c r="E9" i="1" s="1"/>
  <c r="C9" i="8"/>
  <c r="F9" i="1" s="1"/>
  <c r="D9" i="8"/>
  <c r="B9" i="1" s="1"/>
  <c r="A9" i="1" s="1"/>
  <c r="B92" i="8"/>
  <c r="E92" i="1" s="1"/>
  <c r="D92" i="8"/>
  <c r="B92" i="1" s="1"/>
  <c r="A92" i="1" s="1"/>
  <c r="C92" i="8"/>
  <c r="F92" i="1" s="1"/>
  <c r="D114" i="8"/>
  <c r="B114" i="1" s="1"/>
  <c r="A114" i="1" s="1"/>
  <c r="C114" i="8"/>
  <c r="F114" i="1" s="1"/>
  <c r="B114" i="8"/>
  <c r="E114" i="1" s="1"/>
  <c r="B182" i="8"/>
  <c r="E182" i="1" s="1"/>
  <c r="C182" i="8"/>
  <c r="F182" i="1" s="1"/>
  <c r="D182" i="8"/>
  <c r="B182" i="1" s="1"/>
  <c r="A182" i="1" s="1"/>
  <c r="B198" i="8"/>
  <c r="E198" i="1" s="1"/>
  <c r="D198" i="8"/>
  <c r="B198" i="1" s="1"/>
  <c r="A198" i="1" s="1"/>
  <c r="C198" i="8"/>
  <c r="F198" i="1" s="1"/>
  <c r="B137" i="8"/>
  <c r="E137" i="1" s="1"/>
  <c r="D137" i="8"/>
  <c r="B137" i="1" s="1"/>
  <c r="A137" i="1" s="1"/>
  <c r="C137" i="8"/>
  <c r="F137" i="1" s="1"/>
  <c r="C165" i="8"/>
  <c r="F165" i="1" s="1"/>
  <c r="B165" i="8"/>
  <c r="E165" i="1" s="1"/>
  <c r="D165" i="8"/>
  <c r="B165" i="1" s="1"/>
  <c r="A165" i="1" s="1"/>
  <c r="C97" i="8"/>
  <c r="F97" i="1" s="1"/>
  <c r="D97" i="8"/>
  <c r="B97" i="1" s="1"/>
  <c r="A97" i="1" s="1"/>
  <c r="B97" i="8"/>
  <c r="E97" i="1" s="1"/>
  <c r="D60" i="8"/>
  <c r="B60" i="1" s="1"/>
  <c r="A60" i="1" s="1"/>
  <c r="C60" i="8"/>
  <c r="F60" i="1" s="1"/>
  <c r="B60" i="8"/>
  <c r="E60" i="1" s="1"/>
  <c r="B164" i="8"/>
  <c r="E164" i="1" s="1"/>
  <c r="C164" i="8"/>
  <c r="F164" i="1" s="1"/>
  <c r="D164" i="8"/>
  <c r="B164" i="1" s="1"/>
  <c r="A164" i="1" s="1"/>
  <c r="D140" i="8"/>
  <c r="B140" i="1" s="1"/>
  <c r="A140" i="1" s="1"/>
  <c r="B140" i="8"/>
  <c r="E140" i="1" s="1"/>
  <c r="C140" i="8"/>
  <c r="F140" i="1" s="1"/>
  <c r="C171" i="8"/>
  <c r="F171" i="1" s="1"/>
  <c r="D171" i="8"/>
  <c r="B171" i="1" s="1"/>
  <c r="A171" i="1" s="1"/>
  <c r="B171" i="8"/>
  <c r="E171" i="1" s="1"/>
  <c r="B10" i="8"/>
  <c r="E10" i="1" s="1"/>
  <c r="C10" i="8"/>
  <c r="F10" i="1" s="1"/>
  <c r="D10" i="8"/>
  <c r="B10" i="1" s="1"/>
  <c r="A10" i="1" s="1"/>
  <c r="C149" i="8"/>
  <c r="F149" i="1" s="1"/>
  <c r="B149" i="8"/>
  <c r="E149" i="1" s="1"/>
  <c r="D149" i="8"/>
  <c r="B149" i="1" s="1"/>
  <c r="A149" i="1" s="1"/>
  <c r="C24" i="8"/>
  <c r="F24" i="1" s="1"/>
  <c r="B24" i="8"/>
  <c r="E24" i="1" s="1"/>
  <c r="D24" i="8"/>
  <c r="B24" i="1" s="1"/>
  <c r="A24" i="1" s="1"/>
  <c r="D56" i="8"/>
  <c r="B56" i="1" s="1"/>
  <c r="A56" i="1" s="1"/>
  <c r="B56" i="8"/>
  <c r="E56" i="1" s="1"/>
  <c r="C56" i="8"/>
  <c r="F56" i="1" s="1"/>
  <c r="B189" i="8"/>
  <c r="E189" i="1" s="1"/>
  <c r="C189" i="8"/>
  <c r="F189" i="1" s="1"/>
  <c r="D189" i="8"/>
  <c r="B189" i="1" s="1"/>
  <c r="A189" i="1" s="1"/>
  <c r="D139" i="8"/>
  <c r="B139" i="1" s="1"/>
  <c r="A139" i="1" s="1"/>
  <c r="B139" i="8"/>
  <c r="E139" i="1" s="1"/>
  <c r="C139" i="8"/>
  <c r="F139" i="1" s="1"/>
  <c r="C142" i="8"/>
  <c r="F142" i="1" s="1"/>
  <c r="B142" i="8"/>
  <c r="E142" i="1" s="1"/>
  <c r="D142" i="8"/>
  <c r="B142" i="1" s="1"/>
  <c r="A142" i="1" s="1"/>
  <c r="D22" i="8"/>
  <c r="B22" i="1" s="1"/>
  <c r="A22" i="1" s="1"/>
  <c r="B22" i="8"/>
  <c r="E22" i="1" s="1"/>
  <c r="C22" i="8"/>
  <c r="F22" i="1" s="1"/>
  <c r="D134" i="8"/>
  <c r="B134" i="1" s="1"/>
  <c r="A134" i="1" s="1"/>
  <c r="B134" i="8"/>
  <c r="E134" i="1" s="1"/>
  <c r="C134" i="8"/>
  <c r="F134" i="1" s="1"/>
  <c r="B64" i="8"/>
  <c r="E64" i="1" s="1"/>
  <c r="C64" i="8"/>
  <c r="F64" i="1" s="1"/>
  <c r="D64" i="8"/>
  <c r="B64" i="1" s="1"/>
  <c r="A64" i="1" s="1"/>
  <c r="C68" i="8"/>
  <c r="F68" i="1" s="1"/>
  <c r="B68" i="8"/>
  <c r="E68" i="1" s="1"/>
  <c r="D68" i="8"/>
  <c r="B68" i="1" s="1"/>
  <c r="A68" i="1" s="1"/>
  <c r="D138" i="8"/>
  <c r="B138" i="1" s="1"/>
  <c r="A138" i="1" s="1"/>
  <c r="B138" i="8"/>
  <c r="E138" i="1" s="1"/>
  <c r="C138" i="8"/>
  <c r="F138" i="1" s="1"/>
  <c r="D141" i="8"/>
  <c r="B141" i="1" s="1"/>
  <c r="A141" i="1" s="1"/>
  <c r="C141" i="8"/>
  <c r="F141" i="1" s="1"/>
  <c r="B141" i="8"/>
  <c r="E141" i="1" s="1"/>
  <c r="B197" i="8"/>
  <c r="E197" i="1" s="1"/>
  <c r="C197" i="8"/>
  <c r="F197" i="1" s="1"/>
  <c r="D197" i="8"/>
  <c r="B197" i="1" s="1"/>
  <c r="A197" i="1" s="1"/>
  <c r="D69" i="8"/>
  <c r="B69" i="1" s="1"/>
  <c r="A69" i="1" s="1"/>
  <c r="B69" i="8"/>
  <c r="E69" i="1" s="1"/>
  <c r="C69" i="8"/>
  <c r="F69" i="1" s="1"/>
  <c r="D168" i="8"/>
  <c r="B168" i="1" s="1"/>
  <c r="A168" i="1" s="1"/>
  <c r="C168" i="8"/>
  <c r="F168" i="1" s="1"/>
  <c r="B168" i="8"/>
  <c r="E168" i="1" s="1"/>
  <c r="B53" i="8"/>
  <c r="E53" i="1" s="1"/>
  <c r="C53" i="8"/>
  <c r="F53" i="1" s="1"/>
  <c r="D53" i="8"/>
  <c r="B53" i="1" s="1"/>
  <c r="A53" i="1" s="1"/>
  <c r="C90" i="8"/>
  <c r="F90" i="1" s="1"/>
  <c r="D90" i="8"/>
  <c r="B90" i="1" s="1"/>
  <c r="A90" i="1" s="1"/>
  <c r="B90" i="8"/>
  <c r="E90" i="1" s="1"/>
  <c r="B195" i="8"/>
  <c r="E195" i="1" s="1"/>
  <c r="D195" i="8"/>
  <c r="B195" i="1" s="1"/>
  <c r="A195" i="1" s="1"/>
  <c r="C195" i="8"/>
  <c r="F195" i="1" s="1"/>
  <c r="C129" i="8"/>
  <c r="F129" i="1" s="1"/>
  <c r="D129" i="8"/>
  <c r="B129" i="1" s="1"/>
  <c r="A129" i="1" s="1"/>
  <c r="B129" i="8"/>
  <c r="E129" i="1" s="1"/>
  <c r="B178" i="8"/>
  <c r="E178" i="1" s="1"/>
  <c r="C178" i="8"/>
  <c r="F178" i="1" s="1"/>
  <c r="D178" i="8"/>
  <c r="B178" i="1" s="1"/>
  <c r="A178" i="1" s="1"/>
  <c r="C17" i="8"/>
  <c r="F17" i="1" s="1"/>
  <c r="B17" i="8"/>
  <c r="E17" i="1" s="1"/>
  <c r="D17" i="8"/>
  <c r="B17" i="1" s="1"/>
  <c r="A17" i="1" s="1"/>
  <c r="B130" i="8"/>
  <c r="E130" i="1" s="1"/>
  <c r="C130" i="8"/>
  <c r="F130" i="1" s="1"/>
  <c r="D130" i="8"/>
  <c r="B130" i="1" s="1"/>
  <c r="A130" i="1" s="1"/>
  <c r="B85" i="8"/>
  <c r="E85" i="1" s="1"/>
  <c r="C85" i="8"/>
  <c r="F85" i="1" s="1"/>
  <c r="D85" i="8"/>
  <c r="B85" i="1" s="1"/>
  <c r="A85" i="1" s="1"/>
  <c r="C81" i="8"/>
  <c r="F81" i="1" s="1"/>
  <c r="D81" i="8"/>
  <c r="B81" i="1" s="1"/>
  <c r="A81" i="1" s="1"/>
  <c r="B81" i="8"/>
  <c r="E81" i="1" s="1"/>
  <c r="C50" i="8"/>
  <c r="F50" i="1" s="1"/>
  <c r="B50" i="8"/>
  <c r="E50" i="1" s="1"/>
  <c r="D50" i="8"/>
  <c r="B50" i="1" s="1"/>
  <c r="A50" i="1" s="1"/>
  <c r="B34" i="8"/>
  <c r="E34" i="1" s="1"/>
  <c r="C34" i="8"/>
  <c r="F34" i="1" s="1"/>
  <c r="D34" i="8"/>
  <c r="B34" i="1" s="1"/>
  <c r="A34" i="1" s="1"/>
  <c r="B45" i="8"/>
  <c r="E45" i="1" s="1"/>
  <c r="D45" i="8"/>
  <c r="B45" i="1" s="1"/>
  <c r="A45" i="1" s="1"/>
  <c r="C45" i="8"/>
  <c r="F45" i="1" s="1"/>
  <c r="C23" i="8"/>
  <c r="F23" i="1" s="1"/>
  <c r="D23" i="8"/>
  <c r="B23" i="1" s="1"/>
  <c r="A23" i="1" s="1"/>
  <c r="B23" i="8"/>
  <c r="E23" i="1" s="1"/>
  <c r="B146" i="8"/>
  <c r="E146" i="1" s="1"/>
  <c r="C146" i="8"/>
  <c r="F146" i="1" s="1"/>
  <c r="D146" i="8"/>
  <c r="B146" i="1" s="1"/>
  <c r="A146" i="1" s="1"/>
  <c r="B28" i="8"/>
  <c r="E28" i="1" s="1"/>
  <c r="C28" i="8"/>
  <c r="F28" i="1" s="1"/>
  <c r="D28" i="8"/>
  <c r="B28" i="1" s="1"/>
  <c r="A28" i="1" s="1"/>
  <c r="B19" i="8"/>
  <c r="E19" i="1" s="1"/>
  <c r="D19" i="8"/>
  <c r="B19" i="1" s="1"/>
  <c r="A19" i="1" s="1"/>
  <c r="C19" i="8"/>
  <c r="F19" i="1" s="1"/>
  <c r="C52" i="8"/>
  <c r="F52" i="1" s="1"/>
  <c r="B52" i="8"/>
  <c r="E52" i="1" s="1"/>
  <c r="D52" i="8"/>
  <c r="B52" i="1" s="1"/>
  <c r="A52" i="1" s="1"/>
  <c r="D8" i="8"/>
  <c r="B8" i="1" s="1"/>
  <c r="A8" i="1" s="1"/>
  <c r="B8" i="8"/>
  <c r="E8" i="1" s="1"/>
  <c r="C8" i="8"/>
  <c r="F8" i="1" s="1"/>
  <c r="C98" i="8"/>
  <c r="F98" i="1" s="1"/>
  <c r="B98" i="8"/>
  <c r="E98" i="1" s="1"/>
  <c r="D98" i="8"/>
  <c r="B98" i="1" s="1"/>
  <c r="A98" i="1" s="1"/>
  <c r="C20" i="8"/>
  <c r="F20" i="1" s="1"/>
  <c r="D20" i="8"/>
  <c r="B20" i="1" s="1"/>
  <c r="A20" i="1" s="1"/>
  <c r="B20" i="8"/>
  <c r="E20" i="1" s="1"/>
  <c r="D110" i="8"/>
  <c r="B110" i="1" s="1"/>
  <c r="A110" i="1" s="1"/>
  <c r="C110" i="8"/>
  <c r="F110" i="1" s="1"/>
  <c r="B110" i="8"/>
  <c r="E110" i="1" s="1"/>
  <c r="B132" i="8"/>
  <c r="E132" i="1" s="1"/>
  <c r="C132" i="8"/>
  <c r="F132" i="1" s="1"/>
  <c r="D132" i="8"/>
  <c r="B132" i="1" s="1"/>
  <c r="A132" i="1" s="1"/>
  <c r="B113" i="8"/>
  <c r="E113" i="1" s="1"/>
  <c r="C113" i="8"/>
  <c r="F113" i="1" s="1"/>
  <c r="D113" i="8"/>
  <c r="B113" i="1" s="1"/>
  <c r="A113" i="1" s="1"/>
  <c r="C82" i="8"/>
  <c r="F82" i="1" s="1"/>
  <c r="D82" i="8"/>
  <c r="B82" i="1" s="1"/>
  <c r="A82" i="1" s="1"/>
  <c r="B82" i="8"/>
  <c r="E82" i="1" s="1"/>
  <c r="B27" i="8"/>
  <c r="E27" i="1" s="1"/>
  <c r="D27" i="8"/>
  <c r="B27" i="1" s="1"/>
  <c r="A27" i="1" s="1"/>
  <c r="C27" i="8"/>
  <c r="F27" i="1" s="1"/>
  <c r="D36" i="8"/>
  <c r="B36" i="1" s="1"/>
  <c r="A36" i="1" s="1"/>
  <c r="B36" i="8"/>
  <c r="E36" i="1" s="1"/>
  <c r="C36" i="8"/>
  <c r="F36" i="1" s="1"/>
  <c r="C126" i="8"/>
  <c r="F126" i="1" s="1"/>
  <c r="D126" i="8"/>
  <c r="B126" i="1" s="1"/>
  <c r="A126" i="1" s="1"/>
  <c r="B126" i="8"/>
  <c r="E126" i="1" s="1"/>
  <c r="C181" i="8"/>
  <c r="F181" i="1" s="1"/>
  <c r="D181" i="8"/>
  <c r="B181" i="1" s="1"/>
  <c r="A181" i="1" s="1"/>
  <c r="B181" i="8"/>
  <c r="E181" i="1" s="1"/>
  <c r="C174" i="8"/>
  <c r="F174" i="1" s="1"/>
  <c r="B174" i="8"/>
  <c r="E174" i="1" s="1"/>
  <c r="D174" i="8"/>
  <c r="B174" i="1" s="1"/>
  <c r="A174" i="1" s="1"/>
  <c r="C157" i="8"/>
  <c r="F157" i="1" s="1"/>
  <c r="D157" i="8"/>
  <c r="B157" i="1" s="1"/>
  <c r="A157" i="1" s="1"/>
  <c r="B157" i="8"/>
  <c r="E157" i="1" s="1"/>
  <c r="B73" i="8"/>
  <c r="E73" i="1" s="1"/>
  <c r="C73" i="8"/>
  <c r="F73" i="1" s="1"/>
  <c r="D73" i="8"/>
  <c r="B73" i="1" s="1"/>
  <c r="A73" i="1" s="1"/>
  <c r="B5" i="8"/>
  <c r="E5" i="1" s="1"/>
  <c r="C5" i="8"/>
  <c r="F5" i="1" s="1"/>
  <c r="D5" i="8"/>
  <c r="B5" i="1" s="1"/>
  <c r="A5" i="1" s="1"/>
  <c r="B15" i="8"/>
  <c r="E15" i="1" s="1"/>
  <c r="C15" i="8"/>
  <c r="F15" i="1" s="1"/>
  <c r="D15" i="8"/>
  <c r="B15" i="1" s="1"/>
  <c r="A15" i="1" s="1"/>
  <c r="B37" i="8"/>
  <c r="E37" i="1" s="1"/>
  <c r="D37" i="8"/>
  <c r="B37" i="1" s="1"/>
  <c r="A37" i="1" s="1"/>
  <c r="C37" i="8"/>
  <c r="F37" i="1" s="1"/>
  <c r="D44" i="8"/>
  <c r="B44" i="1" s="1"/>
  <c r="A44" i="1" s="1"/>
  <c r="C44" i="8"/>
  <c r="F44" i="1" s="1"/>
  <c r="B44" i="8"/>
  <c r="E44" i="1" s="1"/>
  <c r="B144" i="8"/>
  <c r="E144" i="1" s="1"/>
  <c r="C144" i="8"/>
  <c r="F144" i="1" s="1"/>
  <c r="D144" i="8"/>
  <c r="B144" i="1" s="1"/>
  <c r="A144" i="1" s="1"/>
  <c r="D152" i="8"/>
  <c r="B152" i="1" s="1"/>
  <c r="A152" i="1" s="1"/>
  <c r="B152" i="8"/>
  <c r="E152" i="1" s="1"/>
  <c r="C152" i="8"/>
  <c r="F152" i="1" s="1"/>
  <c r="C3" i="8"/>
  <c r="F3" i="1" s="1"/>
  <c r="B3" i="8"/>
  <c r="E3" i="1" s="1"/>
  <c r="D3" i="8"/>
  <c r="B3" i="1" s="1"/>
  <c r="A3" i="1" s="1"/>
  <c r="D55" i="8"/>
  <c r="B55" i="1" s="1"/>
  <c r="A55" i="1" s="1"/>
  <c r="B55" i="8"/>
  <c r="E55" i="1" s="1"/>
  <c r="C55" i="8"/>
  <c r="F55" i="1" s="1"/>
  <c r="B94" i="8"/>
  <c r="E94" i="1" s="1"/>
  <c r="D94" i="8"/>
  <c r="B94" i="1" s="1"/>
  <c r="A94" i="1" s="1"/>
  <c r="C94" i="8"/>
  <c r="F94" i="1" s="1"/>
  <c r="D18" i="8"/>
  <c r="B18" i="1" s="1"/>
  <c r="A18" i="1" s="1"/>
  <c r="B18" i="8"/>
  <c r="E18" i="1" s="1"/>
  <c r="C18" i="8"/>
  <c r="F18" i="1" s="1"/>
  <c r="D58" i="8"/>
  <c r="B58" i="1" s="1"/>
  <c r="A58" i="1" s="1"/>
  <c r="C58" i="8"/>
  <c r="F58" i="1" s="1"/>
  <c r="B58" i="8"/>
  <c r="E58" i="1" s="1"/>
  <c r="B188" i="8"/>
  <c r="E188" i="1" s="1"/>
  <c r="D188" i="8"/>
  <c r="B188" i="1" s="1"/>
  <c r="A188" i="1" s="1"/>
  <c r="C188" i="8"/>
  <c r="F188" i="1" s="1"/>
  <c r="B131" i="8"/>
  <c r="E131" i="1" s="1"/>
  <c r="C131" i="8"/>
  <c r="F131" i="1" s="1"/>
  <c r="D131" i="8"/>
  <c r="B131" i="1" s="1"/>
  <c r="A131" i="1" s="1"/>
  <c r="C25" i="8"/>
  <c r="F25" i="1" s="1"/>
  <c r="B25" i="8"/>
  <c r="E25" i="1" s="1"/>
  <c r="D25" i="8"/>
  <c r="B25" i="1" s="1"/>
  <c r="A25" i="1" s="1"/>
  <c r="D107" i="8"/>
  <c r="B107" i="1" s="1"/>
  <c r="A107" i="1" s="1"/>
  <c r="B107" i="8"/>
  <c r="E107" i="1" s="1"/>
  <c r="C107" i="8"/>
  <c r="F107" i="1" s="1"/>
  <c r="B35" i="8"/>
  <c r="E35" i="1" s="1"/>
  <c r="D35" i="8"/>
  <c r="B35" i="1" s="1"/>
  <c r="A35" i="1" s="1"/>
  <c r="C35" i="8"/>
  <c r="F35" i="1" s="1"/>
  <c r="B101" i="8"/>
  <c r="E101" i="1" s="1"/>
  <c r="D101" i="8"/>
  <c r="B101" i="1" s="1"/>
  <c r="A101" i="1" s="1"/>
  <c r="C101" i="8"/>
  <c r="F101" i="1" s="1"/>
  <c r="D16" i="8"/>
  <c r="B16" i="1" s="1"/>
  <c r="A16" i="1" s="1"/>
  <c r="C16" i="8"/>
  <c r="F16" i="1" s="1"/>
  <c r="B16" i="8"/>
  <c r="E16" i="1" s="1"/>
  <c r="B147" i="8"/>
  <c r="E147" i="1" s="1"/>
  <c r="C147" i="8"/>
  <c r="F147" i="1" s="1"/>
  <c r="D147" i="8"/>
  <c r="B147" i="1" s="1"/>
  <c r="A147" i="1" s="1"/>
  <c r="B115" i="8"/>
  <c r="E115" i="1" s="1"/>
  <c r="C115" i="8"/>
  <c r="F115" i="1" s="1"/>
  <c r="D115" i="8"/>
  <c r="B115" i="1" s="1"/>
  <c r="A115" i="1" s="1"/>
  <c r="C100" i="8"/>
  <c r="F100" i="1" s="1"/>
  <c r="B100" i="8"/>
  <c r="E100" i="1" s="1"/>
  <c r="D100" i="8"/>
  <c r="B100" i="1" s="1"/>
  <c r="A100" i="1" s="1"/>
  <c r="D160" i="8"/>
  <c r="B160" i="1" s="1"/>
  <c r="A160" i="1" s="1"/>
  <c r="B160" i="8"/>
  <c r="E160" i="1" s="1"/>
  <c r="C160" i="8"/>
  <c r="F160" i="1" s="1"/>
  <c r="C49" i="8"/>
  <c r="F49" i="1" s="1"/>
  <c r="B49" i="8"/>
  <c r="E49" i="1" s="1"/>
  <c r="D49" i="8"/>
  <c r="B49" i="1" s="1"/>
  <c r="A49" i="1" s="1"/>
  <c r="B88" i="8"/>
  <c r="E88" i="1" s="1"/>
  <c r="D88" i="8"/>
  <c r="B88" i="1" s="1"/>
  <c r="A88" i="1" s="1"/>
  <c r="C88" i="8"/>
  <c r="F88" i="1" s="1"/>
  <c r="C77" i="8"/>
  <c r="F77" i="1" s="1"/>
  <c r="B77" i="8"/>
  <c r="E77" i="1" s="1"/>
  <c r="D77" i="8"/>
  <c r="B77" i="1" s="1"/>
  <c r="A77" i="1" s="1"/>
  <c r="D161" i="8"/>
  <c r="B161" i="1" s="1"/>
  <c r="A161" i="1" s="1"/>
  <c r="B161" i="8"/>
  <c r="E161" i="1" s="1"/>
  <c r="C161" i="8"/>
  <c r="F161" i="1" s="1"/>
  <c r="D172" i="8"/>
  <c r="B172" i="1" s="1"/>
  <c r="A172" i="1" s="1"/>
  <c r="C172" i="8"/>
  <c r="F172" i="1" s="1"/>
  <c r="B172" i="8"/>
  <c r="E172" i="1" s="1"/>
  <c r="D61" i="8"/>
  <c r="B61" i="1" s="1"/>
  <c r="A61" i="1" s="1"/>
  <c r="C61" i="8"/>
  <c r="F61" i="1" s="1"/>
  <c r="B61" i="8"/>
  <c r="E61" i="1" s="1"/>
  <c r="B175" i="8"/>
  <c r="E175" i="1" s="1"/>
  <c r="D175" i="8"/>
  <c r="B175" i="1" s="1"/>
  <c r="A175" i="1" s="1"/>
  <c r="C175" i="8"/>
  <c r="F175" i="1" s="1"/>
  <c r="C111" i="8"/>
  <c r="F111" i="1" s="1"/>
  <c r="D111" i="8"/>
  <c r="B111" i="1" s="1"/>
  <c r="A111" i="1" s="1"/>
  <c r="B111" i="8"/>
  <c r="E111" i="1" s="1"/>
  <c r="C74" i="8"/>
  <c r="F74" i="1" s="1"/>
  <c r="B74" i="8"/>
  <c r="E74" i="1" s="1"/>
  <c r="D74" i="8"/>
  <c r="B74" i="1" s="1"/>
  <c r="A74" i="1" s="1"/>
  <c r="C99" i="8"/>
  <c r="F99" i="1" s="1"/>
  <c r="D99" i="8"/>
  <c r="B99" i="1" s="1"/>
  <c r="A99" i="1" s="1"/>
  <c r="B99" i="8"/>
  <c r="E99" i="1" s="1"/>
  <c r="C122" i="8"/>
  <c r="F122" i="1" s="1"/>
  <c r="D122" i="8"/>
  <c r="B122" i="1" s="1"/>
  <c r="A122" i="1" s="1"/>
  <c r="B122" i="8"/>
  <c r="E122" i="1" s="1"/>
  <c r="C148" i="8"/>
  <c r="F148" i="1" s="1"/>
  <c r="D148" i="8"/>
  <c r="B148" i="1" s="1"/>
  <c r="A148" i="1" s="1"/>
  <c r="B148" i="8"/>
  <c r="E148" i="1" s="1"/>
  <c r="D128" i="8"/>
  <c r="B128" i="1" s="1"/>
  <c r="A128" i="1" s="1"/>
  <c r="C128" i="8"/>
  <c r="F128" i="1" s="1"/>
  <c r="B128" i="8"/>
  <c r="E128" i="1" s="1"/>
  <c r="C106" i="8"/>
  <c r="F106" i="1" s="1"/>
  <c r="D106" i="8"/>
  <c r="B106" i="1" s="1"/>
  <c r="A106" i="1" s="1"/>
  <c r="B106" i="8"/>
  <c r="E106" i="1" s="1"/>
  <c r="C166" i="8"/>
  <c r="F166" i="1" s="1"/>
  <c r="D166" i="8"/>
  <c r="B166" i="1" s="1"/>
  <c r="A166" i="1" s="1"/>
  <c r="B166" i="8"/>
  <c r="E166" i="1" s="1"/>
  <c r="D29" i="8"/>
  <c r="B29" i="1" s="1"/>
  <c r="A29" i="1" s="1"/>
  <c r="C29" i="8"/>
  <c r="F29" i="1" s="1"/>
  <c r="B29" i="8"/>
  <c r="E29" i="1" s="1"/>
  <c r="D87" i="8"/>
  <c r="B87" i="1" s="1"/>
  <c r="A87" i="1" s="1"/>
  <c r="C87" i="8"/>
  <c r="F87" i="1" s="1"/>
  <c r="B87" i="8"/>
  <c r="E87" i="1" s="1"/>
  <c r="D105" i="8"/>
  <c r="B105" i="1" s="1"/>
  <c r="A105" i="1" s="1"/>
  <c r="C105" i="8"/>
  <c r="F105" i="1" s="1"/>
  <c r="B105" i="8"/>
  <c r="E105" i="1" s="1"/>
  <c r="B150" i="8"/>
  <c r="E150" i="1" s="1"/>
  <c r="D150" i="8"/>
  <c r="B150" i="1" s="1"/>
  <c r="A150" i="1" s="1"/>
  <c r="C150" i="8"/>
  <c r="F150" i="1" s="1"/>
  <c r="D104" i="8"/>
  <c r="B104" i="1" s="1"/>
  <c r="A104" i="1" s="1"/>
  <c r="C104" i="8"/>
  <c r="F104" i="1" s="1"/>
  <c r="B104" i="8"/>
  <c r="E104" i="1" s="1"/>
  <c r="D135" i="8"/>
  <c r="B135" i="1" s="1"/>
  <c r="A135" i="1" s="1"/>
  <c r="C135" i="8"/>
  <c r="F135" i="1" s="1"/>
  <c r="B135" i="8"/>
  <c r="E135" i="1" s="1"/>
  <c r="B121" i="8"/>
  <c r="E121" i="1" s="1"/>
  <c r="D121" i="8"/>
  <c r="B121" i="1" s="1"/>
  <c r="A121" i="1" s="1"/>
  <c r="C121" i="8"/>
  <c r="F121" i="1" s="1"/>
  <c r="D42" i="8"/>
  <c r="B42" i="1" s="1"/>
  <c r="A42" i="1" s="1"/>
  <c r="C42" i="8"/>
  <c r="F42" i="1" s="1"/>
  <c r="B42" i="8"/>
  <c r="E42" i="1" s="1"/>
  <c r="B72" i="8"/>
  <c r="E72" i="1" s="1"/>
  <c r="D72" i="8"/>
  <c r="B72" i="1" s="1"/>
  <c r="A72" i="1" s="1"/>
  <c r="C72" i="8"/>
  <c r="F72" i="1" s="1"/>
  <c r="D183" i="8"/>
  <c r="B183" i="1" s="1"/>
  <c r="A183" i="1" s="1"/>
  <c r="C183" i="8"/>
  <c r="F183" i="1" s="1"/>
  <c r="B183" i="8"/>
  <c r="E183" i="1" s="1"/>
  <c r="B109" i="8"/>
  <c r="E109" i="1" s="1"/>
  <c r="C109" i="8"/>
  <c r="F109" i="1" s="1"/>
  <c r="D109" i="8"/>
  <c r="B109" i="1" s="1"/>
  <c r="A109" i="1" s="1"/>
  <c r="C192" i="8"/>
  <c r="F192" i="1" s="1"/>
  <c r="B192" i="8"/>
  <c r="E192" i="1" s="1"/>
  <c r="D192" i="8"/>
  <c r="B192" i="1" s="1"/>
  <c r="A192" i="1" s="1"/>
  <c r="B125" i="8"/>
  <c r="E125" i="1" s="1"/>
  <c r="C125" i="8"/>
  <c r="F125" i="1" s="1"/>
  <c r="D125" i="8"/>
  <c r="B125" i="1" s="1"/>
  <c r="A125" i="1" s="1"/>
  <c r="D190" i="8"/>
  <c r="B190" i="1" s="1"/>
  <c r="A190" i="1" s="1"/>
  <c r="B190" i="8"/>
  <c r="E190" i="1" s="1"/>
  <c r="C190" i="8"/>
  <c r="F190" i="1" s="1"/>
  <c r="C95" i="8"/>
  <c r="F95" i="1" s="1"/>
  <c r="D95" i="8"/>
  <c r="B95" i="1" s="1"/>
  <c r="A95" i="1" s="1"/>
  <c r="B95" i="8"/>
  <c r="E95" i="1" s="1"/>
  <c r="B31" i="8"/>
  <c r="E31" i="1" s="1"/>
  <c r="D31" i="8"/>
  <c r="B31" i="1" s="1"/>
  <c r="A31" i="1" s="1"/>
  <c r="C31" i="8"/>
  <c r="F31" i="1" s="1"/>
  <c r="B154" i="8"/>
  <c r="E154" i="1" s="1"/>
  <c r="D154" i="8"/>
  <c r="B154" i="1" s="1"/>
  <c r="A154" i="1" s="1"/>
  <c r="C154" i="8"/>
  <c r="F154" i="1" s="1"/>
  <c r="B120" i="8"/>
  <c r="E120" i="1" s="1"/>
  <c r="C120" i="8"/>
  <c r="F120" i="1" s="1"/>
  <c r="D120" i="8"/>
  <c r="B120" i="1" s="1"/>
  <c r="A120" i="1" s="1"/>
  <c r="B193" i="8"/>
  <c r="E193" i="1" s="1"/>
  <c r="D193" i="8"/>
  <c r="B193" i="1" s="1"/>
  <c r="A193" i="1" s="1"/>
  <c r="C193" i="8"/>
  <c r="F193" i="1" s="1"/>
  <c r="D7" i="8"/>
  <c r="B7" i="1" s="1"/>
  <c r="A7" i="1" s="1"/>
  <c r="C7" i="8"/>
  <c r="F7" i="1" s="1"/>
  <c r="B7" i="8"/>
  <c r="E7" i="1" s="1"/>
  <c r="B200" i="8"/>
  <c r="E200" i="1" s="1"/>
  <c r="D200" i="8"/>
  <c r="B200" i="1" s="1"/>
  <c r="A200" i="1" s="1"/>
  <c r="C200" i="8"/>
  <c r="F200" i="1" s="1"/>
  <c r="D12" i="8"/>
  <c r="B12" i="1" s="1"/>
  <c r="A12" i="1" s="1"/>
  <c r="B12" i="8"/>
  <c r="E12" i="1" s="1"/>
  <c r="C12" i="8"/>
  <c r="F12" i="1" s="1"/>
  <c r="C2" i="8"/>
  <c r="F2" i="1" s="1"/>
  <c r="D2" i="8"/>
  <c r="B2" i="1" s="1"/>
  <c r="A2" i="1" s="1"/>
  <c r="B2" i="8"/>
  <c r="E2" i="1" s="1"/>
  <c r="D124" i="8"/>
  <c r="B124" i="1" s="1"/>
  <c r="A124" i="1" s="1"/>
  <c r="C124" i="8"/>
  <c r="F124" i="1" s="1"/>
  <c r="B124" i="8"/>
  <c r="E124" i="1" s="1"/>
  <c r="B169" i="8"/>
  <c r="E169" i="1" s="1"/>
  <c r="C169" i="8"/>
  <c r="F169" i="1" s="1"/>
  <c r="D169" i="8"/>
  <c r="B169" i="1" s="1"/>
  <c r="A169" i="1" s="1"/>
  <c r="C179" i="8"/>
  <c r="F179" i="1" s="1"/>
  <c r="B179" i="8"/>
  <c r="E179" i="1" s="1"/>
  <c r="D179" i="8"/>
  <c r="B179" i="1" s="1"/>
  <c r="A179" i="1" s="1"/>
  <c r="D32" i="8"/>
  <c r="B32" i="1" s="1"/>
  <c r="A32" i="1" s="1"/>
  <c r="C32" i="8"/>
  <c r="F32" i="1" s="1"/>
  <c r="B32" i="8"/>
  <c r="E32" i="1" s="1"/>
  <c r="B163" i="8"/>
  <c r="E163" i="1" s="1"/>
  <c r="C163" i="8"/>
  <c r="F163" i="1" s="1"/>
  <c r="D163" i="8"/>
  <c r="B163" i="1" s="1"/>
  <c r="A163" i="1" s="1"/>
  <c r="D84" i="8"/>
  <c r="B84" i="1" s="1"/>
  <c r="A84" i="1" s="1"/>
  <c r="C84" i="8"/>
  <c r="F84" i="1" s="1"/>
  <c r="B84" i="8"/>
  <c r="E84" i="1" s="1"/>
  <c r="C30" i="8"/>
  <c r="F30" i="1" s="1"/>
  <c r="D30" i="8"/>
  <c r="B30" i="1" s="1"/>
  <c r="A30" i="1" s="1"/>
  <c r="B30" i="8"/>
  <c r="E30" i="1" s="1"/>
  <c r="C170" i="8"/>
  <c r="F170" i="1" s="1"/>
  <c r="B170" i="8"/>
  <c r="E170" i="1" s="1"/>
  <c r="D170" i="8"/>
  <c r="B170" i="1" s="1"/>
  <c r="A170" i="1" s="1"/>
  <c r="C185" i="8"/>
  <c r="F185" i="1" s="1"/>
  <c r="B185" i="8"/>
  <c r="E185" i="1" s="1"/>
  <c r="D185" i="8"/>
  <c r="B185" i="1" s="1"/>
  <c r="A185" i="1" s="1"/>
  <c r="D191" i="8"/>
  <c r="B191" i="1" s="1"/>
  <c r="A191" i="1" s="1"/>
  <c r="C191" i="8"/>
  <c r="F191" i="1" s="1"/>
  <c r="B191" i="8"/>
  <c r="E191" i="1" s="1"/>
  <c r="B48" i="8"/>
  <c r="E48" i="1" s="1"/>
  <c r="C48" i="8"/>
  <c r="F48" i="1" s="1"/>
  <c r="D48" i="8"/>
  <c r="B48" i="1" s="1"/>
  <c r="A48" i="1" s="1"/>
  <c r="C123" i="8"/>
  <c r="F123" i="1" s="1"/>
  <c r="B123" i="8"/>
  <c r="E123" i="1" s="1"/>
  <c r="D123" i="8"/>
  <c r="B123" i="1" s="1"/>
  <c r="A123" i="1" s="1"/>
  <c r="D14" i="8"/>
  <c r="B14" i="1" s="1"/>
  <c r="A14" i="1" s="1"/>
  <c r="C14" i="8"/>
  <c r="F14" i="1" s="1"/>
  <c r="B14" i="8"/>
  <c r="E14" i="1" s="1"/>
  <c r="C78" i="8"/>
  <c r="F78" i="1" s="1"/>
  <c r="D78" i="8"/>
  <c r="B78" i="1" s="1"/>
  <c r="A78" i="1" s="1"/>
  <c r="B78" i="8"/>
  <c r="E78" i="1" s="1"/>
  <c r="B145" i="8"/>
  <c r="E145" i="1" s="1"/>
  <c r="C145" i="8"/>
  <c r="F145" i="1" s="1"/>
  <c r="D145" i="8"/>
  <c r="B145" i="1" s="1"/>
  <c r="A145" i="1" s="1"/>
  <c r="D156" i="8"/>
  <c r="B156" i="1" s="1"/>
  <c r="A156" i="1" s="1"/>
  <c r="C156" i="8"/>
  <c r="F156" i="1" s="1"/>
  <c r="B156" i="8"/>
  <c r="E156" i="1" s="1"/>
  <c r="B40" i="8"/>
  <c r="E40" i="1" s="1"/>
  <c r="D40" i="8"/>
  <c r="B40" i="1" s="1"/>
  <c r="A40" i="1" s="1"/>
  <c r="C40" i="8"/>
  <c r="F40" i="1" s="1"/>
  <c r="D86" i="8"/>
  <c r="B86" i="1" s="1"/>
  <c r="A86" i="1" s="1"/>
  <c r="B86" i="8"/>
  <c r="E86" i="1" s="1"/>
  <c r="C86" i="8"/>
  <c r="F86" i="1" s="1"/>
  <c r="D108" i="8"/>
  <c r="B108" i="1" s="1"/>
  <c r="A108" i="1" s="1"/>
  <c r="B108" i="8"/>
  <c r="E108" i="1" s="1"/>
  <c r="C108" i="8"/>
  <c r="F108" i="1" s="1"/>
  <c r="D63" i="8"/>
  <c r="B63" i="1" s="1"/>
  <c r="A63" i="1" s="1"/>
  <c r="B63" i="8"/>
  <c r="E63" i="1" s="1"/>
  <c r="C63" i="8"/>
  <c r="F63" i="1" s="1"/>
  <c r="B70" i="8"/>
  <c r="E70" i="1" s="1"/>
  <c r="D70" i="8"/>
  <c r="B70" i="1" s="1"/>
  <c r="A70" i="1" s="1"/>
  <c r="C70" i="8"/>
  <c r="F70" i="1" s="1"/>
  <c r="D6" i="8"/>
  <c r="B6" i="1" s="1"/>
  <c r="A6" i="1" s="1"/>
  <c r="B6" i="8"/>
  <c r="E6" i="1" s="1"/>
  <c r="C6" i="8"/>
  <c r="F6" i="1" s="1"/>
  <c r="B43" i="8"/>
  <c r="E43" i="1" s="1"/>
  <c r="C43" i="8"/>
  <c r="F43" i="1" s="1"/>
  <c r="D43" i="8"/>
  <c r="B43" i="1" s="1"/>
  <c r="A43" i="1" s="1"/>
  <c r="D62" i="8"/>
  <c r="B62" i="1" s="1"/>
  <c r="A62" i="1" s="1"/>
  <c r="B62" i="8"/>
  <c r="E62" i="1" s="1"/>
  <c r="C62" i="8"/>
  <c r="F62" i="1" s="1"/>
  <c r="B65" i="8"/>
  <c r="E65" i="1" s="1"/>
  <c r="C65" i="8"/>
  <c r="F65" i="1" s="1"/>
  <c r="D65" i="8"/>
  <c r="B65" i="1" s="1"/>
  <c r="A65" i="1" s="1"/>
  <c r="C133" i="8"/>
  <c r="F133" i="1" s="1"/>
  <c r="D133" i="8"/>
  <c r="B133" i="1" s="1"/>
  <c r="A133" i="1" s="1"/>
  <c r="B133" i="8"/>
  <c r="E133" i="1" s="1"/>
  <c r="D51" i="8"/>
  <c r="B51" i="1" s="1"/>
  <c r="A51" i="1" s="1"/>
  <c r="B51" i="8"/>
  <c r="E51" i="1" s="1"/>
  <c r="C51" i="8"/>
  <c r="F51" i="1" s="1"/>
  <c r="B11" i="8"/>
  <c r="E11" i="1" s="1"/>
  <c r="D11" i="8"/>
  <c r="B11" i="1" s="1"/>
  <c r="A11" i="1" s="1"/>
  <c r="C11" i="8"/>
  <c r="F11" i="1" s="1"/>
  <c r="D59" i="8"/>
  <c r="B59" i="1" s="1"/>
  <c r="A59" i="1" s="1"/>
  <c r="B59" i="8"/>
  <c r="E59" i="1" s="1"/>
  <c r="C59" i="8"/>
  <c r="F59" i="1" s="1"/>
  <c r="B46" i="8"/>
  <c r="E46" i="1" s="1"/>
  <c r="D46" i="8"/>
  <c r="B46" i="1" s="1"/>
  <c r="A46" i="1" s="1"/>
  <c r="C46" i="8"/>
  <c r="F46" i="1" s="1"/>
  <c r="D91" i="8"/>
  <c r="B91" i="1" s="1"/>
  <c r="A91" i="1" s="1"/>
  <c r="B91" i="8"/>
  <c r="E91" i="1" s="1"/>
  <c r="C91" i="8"/>
  <c r="F91" i="1" s="1"/>
  <c r="C153" i="8"/>
  <c r="F153" i="1" s="1"/>
  <c r="B153" i="8"/>
  <c r="E153" i="1" s="1"/>
  <c r="D153" i="8"/>
  <c r="B153" i="1" s="1"/>
  <c r="A153" i="1" s="1"/>
  <c r="C112" i="8"/>
  <c r="F112" i="1" s="1"/>
  <c r="D112" i="8"/>
  <c r="B112" i="1" s="1"/>
  <c r="A112" i="1" s="1"/>
  <c r="B112" i="8"/>
  <c r="E112" i="1" s="1"/>
  <c r="B116" i="8"/>
  <c r="E116" i="1" s="1"/>
  <c r="C116" i="8"/>
  <c r="F116" i="1" s="1"/>
  <c r="D116" i="8"/>
  <c r="B116" i="1" s="1"/>
  <c r="A116" i="1" s="1"/>
  <c r="D176" i="8"/>
  <c r="B176" i="1" s="1"/>
  <c r="A176" i="1" s="1"/>
  <c r="B176" i="8"/>
  <c r="E176" i="1" s="1"/>
  <c r="C176" i="8"/>
  <c r="F176" i="1" s="1"/>
  <c r="B93" i="8"/>
  <c r="E93" i="1" s="1"/>
  <c r="C93" i="8"/>
  <c r="F93" i="1" s="1"/>
  <c r="D93" i="8"/>
  <c r="B93" i="1" s="1"/>
  <c r="A93" i="1" s="1"/>
  <c r="B67" i="8"/>
  <c r="E67" i="1" s="1"/>
  <c r="C67" i="8"/>
  <c r="F67" i="1" s="1"/>
  <c r="D67" i="8"/>
  <c r="B67" i="1" s="1"/>
  <c r="A67" i="1" s="1"/>
  <c r="C39" i="8"/>
  <c r="F39" i="1" s="1"/>
  <c r="D39" i="8"/>
  <c r="B39" i="1" s="1"/>
  <c r="A39" i="1" s="1"/>
  <c r="B39" i="8"/>
  <c r="E39" i="1" s="1"/>
  <c r="C184" i="8"/>
  <c r="F184" i="1" s="1"/>
  <c r="D184" i="8"/>
  <c r="B184" i="1" s="1"/>
  <c r="A184" i="1" s="1"/>
  <c r="B184" i="8"/>
  <c r="E184" i="1" s="1"/>
  <c r="D158" i="8"/>
  <c r="B158" i="1" s="1"/>
  <c r="A158" i="1" s="1"/>
  <c r="B158" i="8"/>
  <c r="E158" i="1" s="1"/>
  <c r="C158" i="8"/>
  <c r="F158" i="1" s="1"/>
  <c r="C136" i="8"/>
  <c r="F136" i="1" s="1"/>
  <c r="D136" i="8"/>
  <c r="B136" i="1" s="1"/>
  <c r="A136" i="1" s="1"/>
  <c r="B136" i="8"/>
  <c r="E136" i="1" s="1"/>
  <c r="B196" i="8"/>
  <c r="E196" i="1" s="1"/>
  <c r="D196" i="8"/>
  <c r="B196" i="1" s="1"/>
  <c r="A196" i="1" s="1"/>
  <c r="C196" i="8"/>
  <c r="F196" i="1" s="1"/>
  <c r="B80" i="8"/>
  <c r="E80" i="1" s="1"/>
  <c r="C80" i="8"/>
  <c r="F80" i="1" s="1"/>
  <c r="D80" i="8"/>
  <c r="B80" i="1" s="1"/>
  <c r="A80" i="1" s="1"/>
  <c r="C33" i="8"/>
  <c r="F33" i="1" s="1"/>
  <c r="B33" i="8"/>
  <c r="E33" i="1" s="1"/>
  <c r="D33" i="8"/>
  <c r="B33" i="1" s="1"/>
  <c r="A33" i="1" s="1"/>
  <c r="C38" i="8"/>
  <c r="F38" i="1" s="1"/>
  <c r="D38" i="8"/>
  <c r="B38" i="1" s="1"/>
  <c r="A38" i="1" s="1"/>
  <c r="B38" i="8"/>
  <c r="E38" i="1" s="1"/>
  <c r="C66" i="8"/>
  <c r="F66" i="1" s="1"/>
  <c r="B66" i="8"/>
  <c r="E66" i="1" s="1"/>
  <c r="D66" i="8"/>
  <c r="B66" i="1" s="1"/>
  <c r="A66" i="1" s="1"/>
</calcChain>
</file>

<file path=xl/sharedStrings.xml><?xml version="1.0" encoding="utf-8"?>
<sst xmlns="http://schemas.openxmlformats.org/spreadsheetml/2006/main" count="7965" uniqueCount="2970">
  <si>
    <t>LINE TYPE</t>
  </si>
  <si>
    <t>QUANTITY</t>
  </si>
  <si>
    <t>TYPE/DESIGNATION</t>
  </si>
  <si>
    <t>GROUP</t>
  </si>
  <si>
    <t>MFR</t>
  </si>
  <si>
    <t>PRODUCT</t>
  </si>
  <si>
    <t>DESCRIPTION</t>
  </si>
  <si>
    <t>UNIT/LOT</t>
  </si>
  <si>
    <t>SELL</t>
  </si>
  <si>
    <t>UOM</t>
  </si>
  <si>
    <t>COST</t>
  </si>
  <si>
    <t>CUSTOMER PO NUMBER</t>
  </si>
  <si>
    <t>INTERNAL NOTES</t>
  </si>
  <si>
    <t>BLINE</t>
  </si>
  <si>
    <t>ENP</t>
  </si>
  <si>
    <t>IQ7-60-2-US</t>
  </si>
  <si>
    <t>XR-10-204A</t>
  </si>
  <si>
    <t>004085M</t>
  </si>
  <si>
    <t>Q-12-10-240</t>
  </si>
  <si>
    <t>Q-12-17-240</t>
  </si>
  <si>
    <t>DG222URB</t>
  </si>
  <si>
    <t>DG222NRB</t>
  </si>
  <si>
    <t>EATON</t>
  </si>
  <si>
    <t>DG223NRB</t>
  </si>
  <si>
    <t>RSTC</t>
  </si>
  <si>
    <t>0799-5B</t>
  </si>
  <si>
    <t>BR612L125RP</t>
  </si>
  <si>
    <t>BR816L125RP</t>
  </si>
  <si>
    <t>BHW-MI-01-A1</t>
  </si>
  <si>
    <t>UFO-STP-33MM-B1</t>
  </si>
  <si>
    <t>UFO-CL-01-B1</t>
  </si>
  <si>
    <t>NMLT75</t>
  </si>
  <si>
    <t>NMLT907</t>
  </si>
  <si>
    <t>LT75</t>
  </si>
  <si>
    <t>LT9075</t>
  </si>
  <si>
    <t>NMLT100</t>
  </si>
  <si>
    <t>GBK1020CS</t>
  </si>
  <si>
    <t>TYTON</t>
  </si>
  <si>
    <t>T150M0UVX2</t>
  </si>
  <si>
    <t>HEYCO</t>
  </si>
  <si>
    <t>M3234GDA-SM</t>
  </si>
  <si>
    <t>ILSCO</t>
  </si>
  <si>
    <t>LFT-03-M1</t>
  </si>
  <si>
    <t>FM-CM-001-B</t>
  </si>
  <si>
    <t>009020S</t>
  </si>
  <si>
    <t>PECO</t>
  </si>
  <si>
    <t>10X34HTSS</t>
  </si>
  <si>
    <t>Q-TERM-10</t>
  </si>
  <si>
    <t>Q-SEAL-10</t>
  </si>
  <si>
    <t>Q-CONN-10M</t>
  </si>
  <si>
    <t>Q-CONN-10F</t>
  </si>
  <si>
    <t>NSI</t>
  </si>
  <si>
    <t>WIRE</t>
  </si>
  <si>
    <t>BARE4SOL</t>
  </si>
  <si>
    <t>FLEX</t>
  </si>
  <si>
    <t xml:space="preserve">BREAKERS </t>
  </si>
  <si>
    <t>BR215</t>
  </si>
  <si>
    <t>BR220</t>
  </si>
  <si>
    <t>BR230</t>
  </si>
  <si>
    <t>BR240</t>
  </si>
  <si>
    <t>BR250</t>
  </si>
  <si>
    <t>BR260</t>
  </si>
  <si>
    <t>BR270</t>
  </si>
  <si>
    <t>BR280</t>
  </si>
  <si>
    <t>BR290</t>
  </si>
  <si>
    <t>FUSES</t>
  </si>
  <si>
    <t>LFUSE</t>
  </si>
  <si>
    <t>FLNR040</t>
  </si>
  <si>
    <t>FLNR050</t>
  </si>
  <si>
    <t>FLNR060</t>
  </si>
  <si>
    <t>FLNR070</t>
  </si>
  <si>
    <t>STICKERS</t>
  </si>
  <si>
    <t>PVLBL</t>
  </si>
  <si>
    <t>02-314</t>
  </si>
  <si>
    <t>03-102</t>
  </si>
  <si>
    <t>03-104</t>
  </si>
  <si>
    <t>03-211</t>
  </si>
  <si>
    <t>03-344</t>
  </si>
  <si>
    <t>05-102</t>
  </si>
  <si>
    <t>05-110</t>
  </si>
  <si>
    <t>05-210</t>
  </si>
  <si>
    <t>05-343</t>
  </si>
  <si>
    <t>MfrCode</t>
  </si>
  <si>
    <t>CatalogNo</t>
  </si>
  <si>
    <t>Description</t>
  </si>
  <si>
    <t>APTOS</t>
  </si>
  <si>
    <t>ARL</t>
  </si>
  <si>
    <t>6A3</t>
  </si>
  <si>
    <t>6A6</t>
  </si>
  <si>
    <t>831RT</t>
  </si>
  <si>
    <t>842ST</t>
  </si>
  <si>
    <t>843S</t>
  </si>
  <si>
    <t>932NM</t>
  </si>
  <si>
    <t>DLN2</t>
  </si>
  <si>
    <t>EMT75</t>
  </si>
  <si>
    <t>GF862</t>
  </si>
  <si>
    <t>GF863</t>
  </si>
  <si>
    <t>GFC75</t>
  </si>
  <si>
    <t>HL7500</t>
  </si>
  <si>
    <t>LPCG757</t>
  </si>
  <si>
    <t>LT100</t>
  </si>
  <si>
    <t>LT125</t>
  </si>
  <si>
    <t>LT90100</t>
  </si>
  <si>
    <t>NM95</t>
  </si>
  <si>
    <t>NM96</t>
  </si>
  <si>
    <t>NMLT125</t>
  </si>
  <si>
    <t>NMLT7</t>
  </si>
  <si>
    <t>NMLT9010</t>
  </si>
  <si>
    <t>NMLT90200</t>
  </si>
  <si>
    <t>NMLT9050</t>
  </si>
  <si>
    <t>NMPV100</t>
  </si>
  <si>
    <t>NMPV75</t>
  </si>
  <si>
    <t>SL100</t>
  </si>
  <si>
    <t>SL150</t>
  </si>
  <si>
    <t>SL75</t>
  </si>
  <si>
    <t>WH2</t>
  </si>
  <si>
    <t>WH3</t>
  </si>
  <si>
    <t>WH4</t>
  </si>
  <si>
    <t>AZTCW</t>
  </si>
  <si>
    <t>B2210PAZN</t>
  </si>
  <si>
    <t>B2211PAZN</t>
  </si>
  <si>
    <t>B22SH120GLV</t>
  </si>
  <si>
    <t>B54SH120GLV</t>
  </si>
  <si>
    <t>DB10</t>
  </si>
  <si>
    <t>N524ZN</t>
  </si>
  <si>
    <t>BPT</t>
  </si>
  <si>
    <t>761UF</t>
  </si>
  <si>
    <t>BUR</t>
  </si>
  <si>
    <t>YC3L12</t>
  </si>
  <si>
    <t>BWF</t>
  </si>
  <si>
    <t>CASOL</t>
  </si>
  <si>
    <t>CHE</t>
  </si>
  <si>
    <t>CHEML</t>
  </si>
  <si>
    <t>F0940</t>
  </si>
  <si>
    <t>F1270GR</t>
  </si>
  <si>
    <t>F1354GR</t>
  </si>
  <si>
    <t>COND</t>
  </si>
  <si>
    <t>EMT1</t>
  </si>
  <si>
    <t>CRDNL</t>
  </si>
  <si>
    <t>DOT</t>
  </si>
  <si>
    <t>1032TC</t>
  </si>
  <si>
    <t>BR115</t>
  </si>
  <si>
    <t>BR120</t>
  </si>
  <si>
    <t>BR210</t>
  </si>
  <si>
    <t>BR2100</t>
  </si>
  <si>
    <t>BR220B</t>
  </si>
  <si>
    <t>BR225</t>
  </si>
  <si>
    <t>BR230B</t>
  </si>
  <si>
    <t>BR235</t>
  </si>
  <si>
    <t>BR240B</t>
  </si>
  <si>
    <t>BRHDK125</t>
  </si>
  <si>
    <t>BRP12L125R</t>
  </si>
  <si>
    <t>BRP12L200R</t>
  </si>
  <si>
    <t>CHF115</t>
  </si>
  <si>
    <t>CHF215</t>
  </si>
  <si>
    <t>CHF220</t>
  </si>
  <si>
    <t>CHF230</t>
  </si>
  <si>
    <t>CHF240</t>
  </si>
  <si>
    <t>CHF250</t>
  </si>
  <si>
    <t>CHQ220</t>
  </si>
  <si>
    <t>CHQ230</t>
  </si>
  <si>
    <t>CHQ250</t>
  </si>
  <si>
    <t>CHT1515</t>
  </si>
  <si>
    <t>CL220</t>
  </si>
  <si>
    <t>CL230</t>
  </si>
  <si>
    <t>CL235</t>
  </si>
  <si>
    <t>CL240</t>
  </si>
  <si>
    <t>CL250</t>
  </si>
  <si>
    <t>CSR2100</t>
  </si>
  <si>
    <t>CSR2150N</t>
  </si>
  <si>
    <t>CSR2175N</t>
  </si>
  <si>
    <t>CSR2200N</t>
  </si>
  <si>
    <t>DG221NRB</t>
  </si>
  <si>
    <t>DG221URB</t>
  </si>
  <si>
    <t>DG223URB</t>
  </si>
  <si>
    <t>DG224NRK</t>
  </si>
  <si>
    <t>DS075H1</t>
  </si>
  <si>
    <t>DS100H1</t>
  </si>
  <si>
    <t>GBK1020</t>
  </si>
  <si>
    <t>GBK5</t>
  </si>
  <si>
    <t>ECOBE</t>
  </si>
  <si>
    <t>EB-STATE3LTP-02</t>
  </si>
  <si>
    <t>EDF</t>
  </si>
  <si>
    <t>ENGNR</t>
  </si>
  <si>
    <t>COMMS-KIT-01</t>
  </si>
  <si>
    <t>CT-200-SPLIT</t>
  </si>
  <si>
    <t>ENCHARGE-10-1P-NA</t>
  </si>
  <si>
    <t>ENCHARGE-3-1P-NA</t>
  </si>
  <si>
    <t>ENV-IQ-AM1-240</t>
  </si>
  <si>
    <t>EP200G101-M240US00</t>
  </si>
  <si>
    <t>IQ7A-72-2-US</t>
  </si>
  <si>
    <t>IQ7PLUS-72-2-US</t>
  </si>
  <si>
    <t>Q-12-RAW-300</t>
  </si>
  <si>
    <t>Q-BA-CAP-10</t>
  </si>
  <si>
    <t>Q-CLIP-100</t>
  </si>
  <si>
    <t>Q-LCF-064-1P</t>
  </si>
  <si>
    <t>X-IQ-AM1-240-3-ES</t>
  </si>
  <si>
    <t>X-IQ-AM1-240-3C</t>
  </si>
  <si>
    <t>X-IQ-AM1-240-3C-ES</t>
  </si>
  <si>
    <t>XA-PLUG-120-3</t>
  </si>
  <si>
    <t>EVRST</t>
  </si>
  <si>
    <t>4000006-H</t>
  </si>
  <si>
    <t>4000050-H</t>
  </si>
  <si>
    <t>4000602-H</t>
  </si>
  <si>
    <t>4000629-H</t>
  </si>
  <si>
    <t>EZSOL</t>
  </si>
  <si>
    <t>RWA1</t>
  </si>
  <si>
    <t>FRZ</t>
  </si>
  <si>
    <t>ATM20</t>
  </si>
  <si>
    <t>TR110R</t>
  </si>
  <si>
    <t>TR125R</t>
  </si>
  <si>
    <t>TR30R</t>
  </si>
  <si>
    <t>TR40R</t>
  </si>
  <si>
    <t>TR50R</t>
  </si>
  <si>
    <t>TR60R</t>
  </si>
  <si>
    <t>TR70R</t>
  </si>
  <si>
    <t>TR80R</t>
  </si>
  <si>
    <t>TR90R</t>
  </si>
  <si>
    <t>GED</t>
  </si>
  <si>
    <t>THQL2120</t>
  </si>
  <si>
    <t>THQL2130</t>
  </si>
  <si>
    <t>THQL2140</t>
  </si>
  <si>
    <t>THQL2150</t>
  </si>
  <si>
    <t>THQP230</t>
  </si>
  <si>
    <t>THQP240</t>
  </si>
  <si>
    <t>APKE00007</t>
  </si>
  <si>
    <t>APKE00008</t>
  </si>
  <si>
    <t>APKE00010</t>
  </si>
  <si>
    <t>APKE00028</t>
  </si>
  <si>
    <t>CXSW200A3</t>
  </si>
  <si>
    <t>G0080040</t>
  </si>
  <si>
    <t>RXSW150A3</t>
  </si>
  <si>
    <t>GEOC</t>
  </si>
  <si>
    <t>GC43542</t>
  </si>
  <si>
    <t>GREAV</t>
  </si>
  <si>
    <t>ANB443</t>
  </si>
  <si>
    <t>ANB473</t>
  </si>
  <si>
    <t>G1</t>
  </si>
  <si>
    <t>HELIN</t>
  </si>
  <si>
    <t>M3200GAH-SM</t>
  </si>
  <si>
    <t>M3231</t>
  </si>
  <si>
    <t>M3231GCZ</t>
  </si>
  <si>
    <t>M3234GAG</t>
  </si>
  <si>
    <t>M3234GBR-SM</t>
  </si>
  <si>
    <t>M3234GBS-SM</t>
  </si>
  <si>
    <t>M8437GBT-SM</t>
  </si>
  <si>
    <t>S6405</t>
  </si>
  <si>
    <t>HYPRE</t>
  </si>
  <si>
    <t>HYUND</t>
  </si>
  <si>
    <t>IDEAL</t>
  </si>
  <si>
    <t>301263J</t>
  </si>
  <si>
    <t>IMO</t>
  </si>
  <si>
    <t>EP2.5-10BEIGE</t>
  </si>
  <si>
    <t>ER10BEIGE</t>
  </si>
  <si>
    <t>IRIDG</t>
  </si>
  <si>
    <t>29-4000-077</t>
  </si>
  <si>
    <t>70-0200-SGA</t>
  </si>
  <si>
    <t>70-0205-CBR</t>
  </si>
  <si>
    <t>70-0300-CBR</t>
  </si>
  <si>
    <t>70-0300-SGA</t>
  </si>
  <si>
    <t>70-0305-CBR</t>
  </si>
  <si>
    <t>ATH-01-M1</t>
  </si>
  <si>
    <t>BHW-SQ-02-A1</t>
  </si>
  <si>
    <t>BHW-TB-02-A1</t>
  </si>
  <si>
    <t>CAMO-01-M1</t>
  </si>
  <si>
    <t>FF2-01-B2</t>
  </si>
  <si>
    <t>FF2-01-M2</t>
  </si>
  <si>
    <t>FRA-BASE-01-M1</t>
  </si>
  <si>
    <t>FV-01-B1</t>
  </si>
  <si>
    <t>FV-01-M1</t>
  </si>
  <si>
    <t>FV-GCP-01-B1</t>
  </si>
  <si>
    <t>GM-BRC-002</t>
  </si>
  <si>
    <t>GM-BRC-003</t>
  </si>
  <si>
    <t>KOB-1L01-B1</t>
  </si>
  <si>
    <t>KOF-F01-T1</t>
  </si>
  <si>
    <t>KOF-S01-T1</t>
  </si>
  <si>
    <t>KOF-W01-T1</t>
  </si>
  <si>
    <t>LFT-03-B1</t>
  </si>
  <si>
    <t>QM-TLF5-M1</t>
  </si>
  <si>
    <t>TM-FTL-010</t>
  </si>
  <si>
    <t>TM-FTL-015</t>
  </si>
  <si>
    <t>TM-FTL-020</t>
  </si>
  <si>
    <t>UFO-CL-01-A1</t>
  </si>
  <si>
    <t>UFO-STP-32MM-B1</t>
  </si>
  <si>
    <t>UFO-STP-32MM-M1</t>
  </si>
  <si>
    <t>UFO-STP-35MM-B1</t>
  </si>
  <si>
    <t>UFO-STP-35MM-M1</t>
  </si>
  <si>
    <t>UFO-STP-38MM-B1</t>
  </si>
  <si>
    <t>UFO-STP-40MM-B1</t>
  </si>
  <si>
    <t>UFO-STP-40MM-M1</t>
  </si>
  <si>
    <t>XR-10-168B</t>
  </si>
  <si>
    <t>XR-10-168M</t>
  </si>
  <si>
    <t>XR-10-204B</t>
  </si>
  <si>
    <t>XR-10-CAP</t>
  </si>
  <si>
    <t>XR-100-168A</t>
  </si>
  <si>
    <t>XR-100-168B</t>
  </si>
  <si>
    <t>XR-100-204A</t>
  </si>
  <si>
    <t>XR-100-204B</t>
  </si>
  <si>
    <t>XR-100-CAP</t>
  </si>
  <si>
    <t>XR-1000-168A</t>
  </si>
  <si>
    <t>XR-1000-204A</t>
  </si>
  <si>
    <t>XR-1000-CAP</t>
  </si>
  <si>
    <t>XR-LUG-03-A1</t>
  </si>
  <si>
    <t>ITE</t>
  </si>
  <si>
    <t>Q1515</t>
  </si>
  <si>
    <t>Q220</t>
  </si>
  <si>
    <t>Q230</t>
  </si>
  <si>
    <t>Q240</t>
  </si>
  <si>
    <t>Q250</t>
  </si>
  <si>
    <t>Q260</t>
  </si>
  <si>
    <t>Q270</t>
  </si>
  <si>
    <t>JINKO</t>
  </si>
  <si>
    <t>LAND</t>
  </si>
  <si>
    <t>LEV</t>
  </si>
  <si>
    <t>FLNR020</t>
  </si>
  <si>
    <t>FLNR025</t>
  </si>
  <si>
    <t>FLNR035</t>
  </si>
  <si>
    <t>FLNR045</t>
  </si>
  <si>
    <t>FLNR090</t>
  </si>
  <si>
    <t>FLNR100</t>
  </si>
  <si>
    <t>FLNR110</t>
  </si>
  <si>
    <t>FLNR125</t>
  </si>
  <si>
    <t>FLNR150</t>
  </si>
  <si>
    <t>KLKD020</t>
  </si>
  <si>
    <t>LRU216</t>
  </si>
  <si>
    <t>LRU263</t>
  </si>
  <si>
    <t>LGCHE</t>
  </si>
  <si>
    <t>LGSOL</t>
  </si>
  <si>
    <t>LUMIN</t>
  </si>
  <si>
    <t>LSP-INDOOR</t>
  </si>
  <si>
    <t>MAD</t>
  </si>
  <si>
    <t>MERSN</t>
  </si>
  <si>
    <t>MIL</t>
  </si>
  <si>
    <t>AHS075</t>
  </si>
  <si>
    <t>AHS100</t>
  </si>
  <si>
    <t>MILW</t>
  </si>
  <si>
    <t>MISC.</t>
  </si>
  <si>
    <t>WATER</t>
  </si>
  <si>
    <t>MISIO</t>
  </si>
  <si>
    <t>MULTI</t>
  </si>
  <si>
    <t>32.0016P0001-UR</t>
  </si>
  <si>
    <t>32.0017P0001-UR</t>
  </si>
  <si>
    <t>MVPDS</t>
  </si>
  <si>
    <t>MVP99</t>
  </si>
  <si>
    <t>NEUR</t>
  </si>
  <si>
    <t>4T</t>
  </si>
  <si>
    <t>CT103</t>
  </si>
  <si>
    <t>CT104</t>
  </si>
  <si>
    <t>IPCS4002</t>
  </si>
  <si>
    <t>IT250</t>
  </si>
  <si>
    <t>IT4</t>
  </si>
  <si>
    <t>IT500</t>
  </si>
  <si>
    <t>N4</t>
  </si>
  <si>
    <t>N6</t>
  </si>
  <si>
    <t>OMG</t>
  </si>
  <si>
    <t>PGM-BK</t>
  </si>
  <si>
    <t>OUTBK</t>
  </si>
  <si>
    <t>PANAS</t>
  </si>
  <si>
    <t>VBHN330KA03E</t>
  </si>
  <si>
    <t>3804J</t>
  </si>
  <si>
    <t>3904J</t>
  </si>
  <si>
    <t>PEGA</t>
  </si>
  <si>
    <t>PEIMR</t>
  </si>
  <si>
    <t>PIKA</t>
  </si>
  <si>
    <t>PS</t>
  </si>
  <si>
    <t>PVC</t>
  </si>
  <si>
    <t>COND1</t>
  </si>
  <si>
    <t>COND2</t>
  </si>
  <si>
    <t>CONDS801</t>
  </si>
  <si>
    <t>CONDS802</t>
  </si>
  <si>
    <t>CPL1</t>
  </si>
  <si>
    <t>CPL2</t>
  </si>
  <si>
    <t>EL1</t>
  </si>
  <si>
    <t>EL145</t>
  </si>
  <si>
    <t>EL2</t>
  </si>
  <si>
    <t>ELS801</t>
  </si>
  <si>
    <t>ELS802</t>
  </si>
  <si>
    <t>FA1</t>
  </si>
  <si>
    <t>FA2</t>
  </si>
  <si>
    <t>JBX12124</t>
  </si>
  <si>
    <t>JBX12126</t>
  </si>
  <si>
    <t>JBX442</t>
  </si>
  <si>
    <t>JBX444</t>
  </si>
  <si>
    <t>JBX664</t>
  </si>
  <si>
    <t>JBX666</t>
  </si>
  <si>
    <t>JBX884</t>
  </si>
  <si>
    <t>LB1</t>
  </si>
  <si>
    <t>LB2</t>
  </si>
  <si>
    <t>LL1</t>
  </si>
  <si>
    <t>LL2</t>
  </si>
  <si>
    <t>LR1</t>
  </si>
  <si>
    <t>LR2</t>
  </si>
  <si>
    <t>TA1</t>
  </si>
  <si>
    <t>TA2</t>
  </si>
  <si>
    <t>02-316</t>
  </si>
  <si>
    <t>02-530</t>
  </si>
  <si>
    <t>03-115</t>
  </si>
  <si>
    <t>03-210</t>
  </si>
  <si>
    <t>03-219</t>
  </si>
  <si>
    <t>03-225</t>
  </si>
  <si>
    <t>03-227</t>
  </si>
  <si>
    <t>03-230</t>
  </si>
  <si>
    <t>03-309</t>
  </si>
  <si>
    <t>03-321</t>
  </si>
  <si>
    <t>03-325</t>
  </si>
  <si>
    <t>03-332</t>
  </si>
  <si>
    <t>03-333</t>
  </si>
  <si>
    <t>03-336</t>
  </si>
  <si>
    <t>03-339</t>
  </si>
  <si>
    <t>03-349</t>
  </si>
  <si>
    <t>03-355</t>
  </si>
  <si>
    <t>03-371</t>
  </si>
  <si>
    <t>03-372</t>
  </si>
  <si>
    <t>03-391</t>
  </si>
  <si>
    <t>03-411</t>
  </si>
  <si>
    <t>03-529</t>
  </si>
  <si>
    <t>04-100</t>
  </si>
  <si>
    <t>04-104</t>
  </si>
  <si>
    <t>04-211</t>
  </si>
  <si>
    <t>04-355</t>
  </si>
  <si>
    <t>04-428</t>
  </si>
  <si>
    <t>04-621</t>
  </si>
  <si>
    <t>05-112</t>
  </si>
  <si>
    <t>05-114</t>
  </si>
  <si>
    <t>05-211</t>
  </si>
  <si>
    <t>05-314</t>
  </si>
  <si>
    <t>05-334</t>
  </si>
  <si>
    <t>05-344</t>
  </si>
  <si>
    <t>05-345</t>
  </si>
  <si>
    <t>05-355</t>
  </si>
  <si>
    <t>05-359</t>
  </si>
  <si>
    <t>06-314</t>
  </si>
  <si>
    <t>RT2-04-SD5-60</t>
  </si>
  <si>
    <t>S5</t>
  </si>
  <si>
    <t>CORRUBRACKET</t>
  </si>
  <si>
    <t>S-5-N 1.5</t>
  </si>
  <si>
    <t>S-5-N MINI</t>
  </si>
  <si>
    <t>S-5-U</t>
  </si>
  <si>
    <t>SNGS5SB8</t>
  </si>
  <si>
    <t>SOLARFOOT</t>
  </si>
  <si>
    <t>VERSABRACKET-47</t>
  </si>
  <si>
    <t>SATIC</t>
  </si>
  <si>
    <t>PPBSD</t>
  </si>
  <si>
    <t>SCNDR</t>
  </si>
  <si>
    <t>865-1034</t>
  </si>
  <si>
    <t>SENER</t>
  </si>
  <si>
    <t>SENSE</t>
  </si>
  <si>
    <t>SILFB</t>
  </si>
  <si>
    <t>SLRSK</t>
  </si>
  <si>
    <t>SS-8</t>
  </si>
  <si>
    <t>SS-END CAPS</t>
  </si>
  <si>
    <t>SS-FOAM</t>
  </si>
  <si>
    <t>SMA</t>
  </si>
  <si>
    <t>119814-00.01</t>
  </si>
  <si>
    <t>SNENP</t>
  </si>
  <si>
    <t>SNIR</t>
  </si>
  <si>
    <t>QMCPT-A-12</t>
  </si>
  <si>
    <t>QMUTM-A-12</t>
  </si>
  <si>
    <t>SNLG</t>
  </si>
  <si>
    <t>SNQC</t>
  </si>
  <si>
    <t>SNRAC</t>
  </si>
  <si>
    <t>SNSE</t>
  </si>
  <si>
    <t>CELL-B-R05-US-S-S2</t>
  </si>
  <si>
    <t>SOLAR</t>
  </si>
  <si>
    <t>SOLED</t>
  </si>
  <si>
    <t>BI-EUSGN-01</t>
  </si>
  <si>
    <t>P401</t>
  </si>
  <si>
    <t>P505</t>
  </si>
  <si>
    <t>SE-EV-KIT-25J40-2</t>
  </si>
  <si>
    <t>SE10000H-US000BNI4</t>
  </si>
  <si>
    <t>SE10000H-US000BNU4</t>
  </si>
  <si>
    <t>SE3800H-US000BNU4</t>
  </si>
  <si>
    <t>SE5000H-US000BNU4</t>
  </si>
  <si>
    <t>SE6000H-US000BNU4</t>
  </si>
  <si>
    <t>SE7600H-US000BNI4</t>
  </si>
  <si>
    <t>SE7600H-US000BNU4</t>
  </si>
  <si>
    <t>SOLIA</t>
  </si>
  <si>
    <t>SOLRK</t>
  </si>
  <si>
    <t>SA-12K</t>
  </si>
  <si>
    <t>SA-8K</t>
  </si>
  <si>
    <t>SONBT</t>
  </si>
  <si>
    <t>SQD</t>
  </si>
  <si>
    <t>B100</t>
  </si>
  <si>
    <t>B125</t>
  </si>
  <si>
    <t>D222NRB</t>
  </si>
  <si>
    <t>D223NRB</t>
  </si>
  <si>
    <t>D224NRB</t>
  </si>
  <si>
    <t>DU221RB</t>
  </si>
  <si>
    <t>DU222RB</t>
  </si>
  <si>
    <t>DU323RB</t>
  </si>
  <si>
    <t>HOM115</t>
  </si>
  <si>
    <t>HOM120</t>
  </si>
  <si>
    <t>HOM1224L125PRB</t>
  </si>
  <si>
    <t>HOM2040L125PRB</t>
  </si>
  <si>
    <t>HOM2150BB</t>
  </si>
  <si>
    <t>HOM220</t>
  </si>
  <si>
    <t>HOM225</t>
  </si>
  <si>
    <t>HOM230</t>
  </si>
  <si>
    <t>HOM235</t>
  </si>
  <si>
    <t>HOM240</t>
  </si>
  <si>
    <t>HOM245</t>
  </si>
  <si>
    <t>HOM250</t>
  </si>
  <si>
    <t>HOM260</t>
  </si>
  <si>
    <t>HOM270</t>
  </si>
  <si>
    <t>HOM280</t>
  </si>
  <si>
    <t>HOM290</t>
  </si>
  <si>
    <t>HOMT1515</t>
  </si>
  <si>
    <t>HOMT1520</t>
  </si>
  <si>
    <t>HU362RB</t>
  </si>
  <si>
    <t>PK4GTA</t>
  </si>
  <si>
    <t>PK7GTA</t>
  </si>
  <si>
    <t>QO120</t>
  </si>
  <si>
    <t>QO1515</t>
  </si>
  <si>
    <t>QO2020</t>
  </si>
  <si>
    <t>QO2100</t>
  </si>
  <si>
    <t>QO220</t>
  </si>
  <si>
    <t>QO225</t>
  </si>
  <si>
    <t>QO225VH</t>
  </si>
  <si>
    <t>QO230</t>
  </si>
  <si>
    <t>QO235</t>
  </si>
  <si>
    <t>QO240</t>
  </si>
  <si>
    <t>QO245</t>
  </si>
  <si>
    <t>QO24L70F</t>
  </si>
  <si>
    <t>QO250</t>
  </si>
  <si>
    <t>QO260</t>
  </si>
  <si>
    <t>QO270</t>
  </si>
  <si>
    <t>QO280</t>
  </si>
  <si>
    <t>QO280VH</t>
  </si>
  <si>
    <t>QOM2150VH</t>
  </si>
  <si>
    <t>QOM2175VH</t>
  </si>
  <si>
    <t>QOM2200VH</t>
  </si>
  <si>
    <t>STORZ</t>
  </si>
  <si>
    <t>SUNMO</t>
  </si>
  <si>
    <t>A20288-166-ML</t>
  </si>
  <si>
    <t>A20297-001</t>
  </si>
  <si>
    <t>A21165-060</t>
  </si>
  <si>
    <t>A21165-120</t>
  </si>
  <si>
    <t>A21168-112</t>
  </si>
  <si>
    <t>A50164-066</t>
  </si>
  <si>
    <t>A50164-092</t>
  </si>
  <si>
    <t>K10154-001</t>
  </si>
  <si>
    <t>K10176-001</t>
  </si>
  <si>
    <t>K10180-001</t>
  </si>
  <si>
    <t>K10182-001</t>
  </si>
  <si>
    <t>K10219-001</t>
  </si>
  <si>
    <t>K10222-001</t>
  </si>
  <si>
    <t>K10299-001</t>
  </si>
  <si>
    <t>K10299-002</t>
  </si>
  <si>
    <t>K10341-002</t>
  </si>
  <si>
    <t>K10342-001</t>
  </si>
  <si>
    <t>K10343-004</t>
  </si>
  <si>
    <t>TB</t>
  </si>
  <si>
    <t>TCP</t>
  </si>
  <si>
    <t>TIEDN</t>
  </si>
  <si>
    <t>TIGO</t>
  </si>
  <si>
    <t>348-00000-52</t>
  </si>
  <si>
    <t>TITAN</t>
  </si>
  <si>
    <t>TOPAZ</t>
  </si>
  <si>
    <t>LB2CG</t>
  </si>
  <si>
    <t>LB3CG</t>
  </si>
  <si>
    <t>LB4CG</t>
  </si>
  <si>
    <t>LL2CG</t>
  </si>
  <si>
    <t>LL3CG</t>
  </si>
  <si>
    <t>LR2CG</t>
  </si>
  <si>
    <t>LR3CG</t>
  </si>
  <si>
    <t>T50I0UVC2</t>
  </si>
  <si>
    <t>ULINE</t>
  </si>
  <si>
    <t>S-19190GR-S</t>
  </si>
  <si>
    <t>S-1919GR-L</t>
  </si>
  <si>
    <t>S-1919GR-M</t>
  </si>
  <si>
    <t>S-20637W</t>
  </si>
  <si>
    <t>UNIRC</t>
  </si>
  <si>
    <t>004055D</t>
  </si>
  <si>
    <t>004055M</t>
  </si>
  <si>
    <t>004085D</t>
  </si>
  <si>
    <t>004200D</t>
  </si>
  <si>
    <t>004270D</t>
  </si>
  <si>
    <t>004271D</t>
  </si>
  <si>
    <t>004400M</t>
  </si>
  <si>
    <t>004600M</t>
  </si>
  <si>
    <t>004TRFM</t>
  </si>
  <si>
    <t>004TRSM</t>
  </si>
  <si>
    <t>004TRWM</t>
  </si>
  <si>
    <t>008000U</t>
  </si>
  <si>
    <t>008002S</t>
  </si>
  <si>
    <t>008009P</t>
  </si>
  <si>
    <t>008013S</t>
  </si>
  <si>
    <t>008015S</t>
  </si>
  <si>
    <t>00802BT</t>
  </si>
  <si>
    <t>00802JB</t>
  </si>
  <si>
    <t>00802RT</t>
  </si>
  <si>
    <t>008100U</t>
  </si>
  <si>
    <t>008114M</t>
  </si>
  <si>
    <t>206072D-B</t>
  </si>
  <si>
    <t>250010U</t>
  </si>
  <si>
    <t>250020U</t>
  </si>
  <si>
    <t>250110U</t>
  </si>
  <si>
    <t>250120U</t>
  </si>
  <si>
    <t>250130U</t>
  </si>
  <si>
    <t>256625U</t>
  </si>
  <si>
    <t>302022D</t>
  </si>
  <si>
    <t>302029D</t>
  </si>
  <si>
    <t>302030D</t>
  </si>
  <si>
    <t>302030M</t>
  </si>
  <si>
    <t>302035M</t>
  </si>
  <si>
    <t>302045D</t>
  </si>
  <si>
    <t>302045M</t>
  </si>
  <si>
    <t>302050D</t>
  </si>
  <si>
    <t>302050M</t>
  </si>
  <si>
    <t>303019D</t>
  </si>
  <si>
    <t>303019M</t>
  </si>
  <si>
    <t>304001C</t>
  </si>
  <si>
    <t>304001D</t>
  </si>
  <si>
    <t>315168D</t>
  </si>
  <si>
    <t>315168M</t>
  </si>
  <si>
    <t>315240D</t>
  </si>
  <si>
    <t>320168M</t>
  </si>
  <si>
    <t>SOLOBOX-D</t>
  </si>
  <si>
    <t>USW</t>
  </si>
  <si>
    <t>VYNK</t>
  </si>
  <si>
    <t>RU-2</t>
  </si>
  <si>
    <t>RU-2-LP</t>
  </si>
  <si>
    <t>WAGO</t>
  </si>
  <si>
    <t>18-04TC-VN-SHD</t>
  </si>
  <si>
    <t>A11202F</t>
  </si>
  <si>
    <t>THHN2/0STRBLK</t>
  </si>
  <si>
    <t>ZILLC</t>
  </si>
  <si>
    <t>ZEFLSH-A AL BLK</t>
  </si>
  <si>
    <t>Row</t>
  </si>
  <si>
    <t>Bay</t>
  </si>
  <si>
    <t>Shelf</t>
  </si>
  <si>
    <t>Default</t>
  </si>
  <si>
    <t>Area</t>
  </si>
  <si>
    <t>Sequence</t>
  </si>
  <si>
    <t>Catalog #</t>
  </si>
  <si>
    <t>Quantity</t>
  </si>
  <si>
    <t>MISC</t>
  </si>
  <si>
    <t>Notes</t>
  </si>
  <si>
    <t>QM-QBB-01-M1</t>
  </si>
  <si>
    <t>QM-QBP-4.5-M1</t>
  </si>
  <si>
    <t>QM-QBP-6.5-M1</t>
  </si>
  <si>
    <t>XR10-BOSS-01-M1</t>
  </si>
  <si>
    <t>XR100-BOSS-01-M1</t>
  </si>
  <si>
    <t xml:space="preserve">CATALOG </t>
  </si>
  <si>
    <t>QTY</t>
  </si>
  <si>
    <t>NOTES</t>
  </si>
  <si>
    <t>NON-STOCK WRITE-IN</t>
  </si>
  <si>
    <t>INSTALLER</t>
  </si>
  <si>
    <t>JOB NAME</t>
  </si>
  <si>
    <t>PANEL ORIENTATION</t>
  </si>
  <si>
    <t>FINANCE</t>
  </si>
  <si>
    <t>BOB/BOW OR SILVER FRAME</t>
  </si>
  <si>
    <t>Modules</t>
  </si>
  <si>
    <t>Racking</t>
  </si>
  <si>
    <t>Inverters and Batteries</t>
  </si>
  <si>
    <t>Conduit, Fittings and Panel Boards</t>
  </si>
  <si>
    <t>PO NUMBER</t>
  </si>
  <si>
    <t>80006J</t>
  </si>
  <si>
    <t>NM2025</t>
  </si>
  <si>
    <t>152DC</t>
  </si>
  <si>
    <t>YC2L12</t>
  </si>
  <si>
    <t>YC4L12</t>
  </si>
  <si>
    <t>TEKHW101</t>
  </si>
  <si>
    <t>BRFP</t>
  </si>
  <si>
    <t>CHQ225</t>
  </si>
  <si>
    <t>DG100NB</t>
  </si>
  <si>
    <t>DS125H1</t>
  </si>
  <si>
    <t>DS150H1</t>
  </si>
  <si>
    <t>MB2040P200BTS</t>
  </si>
  <si>
    <t>TFH</t>
  </si>
  <si>
    <t>APKE00032</t>
  </si>
  <si>
    <t>04507554-99</t>
  </si>
  <si>
    <t>GC43522</t>
  </si>
  <si>
    <t>GC55103</t>
  </si>
  <si>
    <t>UFO-STP-30MM-B1</t>
  </si>
  <si>
    <t>MBK150A</t>
  </si>
  <si>
    <t>MBK175A</t>
  </si>
  <si>
    <t>MBK200A</t>
  </si>
  <si>
    <t>RESU10H PRIME</t>
  </si>
  <si>
    <t>RESU16H PRIME</t>
  </si>
  <si>
    <t>1010GE</t>
  </si>
  <si>
    <t>88GE</t>
  </si>
  <si>
    <t>MSE345SX5T</t>
  </si>
  <si>
    <t>WMB1</t>
  </si>
  <si>
    <t>EVPV360K</t>
  </si>
  <si>
    <t>03-1-A-CUSTOM</t>
  </si>
  <si>
    <t>03-1-B-CUSTOM</t>
  </si>
  <si>
    <t>03-1-C-CUSTOM</t>
  </si>
  <si>
    <t>03-108</t>
  </si>
  <si>
    <t>03-112</t>
  </si>
  <si>
    <t>03-327</t>
  </si>
  <si>
    <t>03-342</t>
  </si>
  <si>
    <t>04-212</t>
  </si>
  <si>
    <t>04-359</t>
  </si>
  <si>
    <t>04-367</t>
  </si>
  <si>
    <t>05-216</t>
  </si>
  <si>
    <t>05-335</t>
  </si>
  <si>
    <t>RT2-00-MINIBK2</t>
  </si>
  <si>
    <t>S-5-NH 1.5</t>
  </si>
  <si>
    <t>SIL 360 NX</t>
  </si>
  <si>
    <t>242-02730</t>
  </si>
  <si>
    <t>SE3000H-US000NNU2</t>
  </si>
  <si>
    <t>HOM1224L125PC</t>
  </si>
  <si>
    <t>HOM1RK</t>
  </si>
  <si>
    <t>QOT2020</t>
  </si>
  <si>
    <t>K10414-079</t>
  </si>
  <si>
    <t>K10448-001</t>
  </si>
  <si>
    <t>K10461-105</t>
  </si>
  <si>
    <t>K10461-107</t>
  </si>
  <si>
    <t>141A</t>
  </si>
  <si>
    <t>009021S</t>
  </si>
  <si>
    <t>256072U</t>
  </si>
  <si>
    <t>309003P</t>
  </si>
  <si>
    <t>CERT</t>
  </si>
  <si>
    <t>CULLY</t>
  </si>
  <si>
    <t>DIXTI</t>
  </si>
  <si>
    <t>GIBSN</t>
  </si>
  <si>
    <t>LLH</t>
  </si>
  <si>
    <t>RHEEM</t>
  </si>
  <si>
    <t>SNJNK</t>
  </si>
  <si>
    <t>WD40</t>
  </si>
  <si>
    <t>Minimum QTY</t>
  </si>
  <si>
    <t>Divisible</t>
  </si>
  <si>
    <t>Price</t>
  </si>
  <si>
    <t>USE THE DROP DOWN TO FIND BREAKER</t>
  </si>
  <si>
    <t>USE THE DROP DOWN TO FIND SIZE</t>
  </si>
  <si>
    <t>DELIVERY ADDRESS</t>
  </si>
  <si>
    <t>DELIVERY DATE</t>
  </si>
  <si>
    <t>AGS</t>
  </si>
  <si>
    <t>HMK</t>
  </si>
  <si>
    <t>CT365HC11-06</t>
  </si>
  <si>
    <t>CGRPW</t>
  </si>
  <si>
    <t>CPES10</t>
  </si>
  <si>
    <t>CPES10.5</t>
  </si>
  <si>
    <t>CPES11</t>
  </si>
  <si>
    <t>CPES9</t>
  </si>
  <si>
    <t>CPPS10</t>
  </si>
  <si>
    <t>CPPS11</t>
  </si>
  <si>
    <t>CPPS9</t>
  </si>
  <si>
    <t>BR1515</t>
  </si>
  <si>
    <t>BR250B</t>
  </si>
  <si>
    <t>ECOSO</t>
  </si>
  <si>
    <t>EP200G-NA-HD-200A</t>
  </si>
  <si>
    <t>EP200G101-M240US01</t>
  </si>
  <si>
    <t>IQ8PLUS-72-2-US</t>
  </si>
  <si>
    <t>X-IQ-AM1-240-4C</t>
  </si>
  <si>
    <t>FAST</t>
  </si>
  <si>
    <t>GDL1</t>
  </si>
  <si>
    <t>THQL2115</t>
  </si>
  <si>
    <t>XVT076A03</t>
  </si>
  <si>
    <t>BRWMLD101RSDD-U000</t>
  </si>
  <si>
    <t>BWCACCBMS0SLX-U000</t>
  </si>
  <si>
    <t>BWCACCBSL0SLX-U000</t>
  </si>
  <si>
    <t>BWCATSM000SLX-U000</t>
  </si>
  <si>
    <t>BWCBMSP000SLX-U000</t>
  </si>
  <si>
    <t>BWCENME1P0SLX-U000</t>
  </si>
  <si>
    <t>SRWBPNU016301-U000</t>
  </si>
  <si>
    <t>SRWEIH1018601-U000</t>
  </si>
  <si>
    <t>GM-HSHW-01-M1</t>
  </si>
  <si>
    <t>QM-LM-01-B1</t>
  </si>
  <si>
    <t>QM-LM-01-M1</t>
  </si>
  <si>
    <t>QM-QBP-3.25-M1</t>
  </si>
  <si>
    <t>QM-QBP-8.5-M1</t>
  </si>
  <si>
    <t>QMC-LF-A-12</t>
  </si>
  <si>
    <t>QMC-LF-B-12</t>
  </si>
  <si>
    <t>QMCC-A-12</t>
  </si>
  <si>
    <t>QMCMT-A-12</t>
  </si>
  <si>
    <t>QMCPC-A-12</t>
  </si>
  <si>
    <t>QMR-CPL-B-50</t>
  </si>
  <si>
    <t>QMR-GLQ-A-50</t>
  </si>
  <si>
    <t>QMR-ISL-A-15</t>
  </si>
  <si>
    <t>QMR-QS14-B-24</t>
  </si>
  <si>
    <t>QMR-QSE-B-12</t>
  </si>
  <si>
    <t>QMR-QSS-A-12</t>
  </si>
  <si>
    <t>QMR-RL14-A-60</t>
  </si>
  <si>
    <t>QMR-RL14-B-60</t>
  </si>
  <si>
    <t>QMR-TB20P-A-300</t>
  </si>
  <si>
    <t>QMR-UEC3045-B-20</t>
  </si>
  <si>
    <t>QMR-UMC3045-B-20</t>
  </si>
  <si>
    <t>QMR-WC-A-300</t>
  </si>
  <si>
    <t>QMTR-BM-A-12</t>
  </si>
  <si>
    <t>QMTR-F3.25-A-12</t>
  </si>
  <si>
    <t>QMTR-S3.25-A-12</t>
  </si>
  <si>
    <t>QMTR-W4-A-12</t>
  </si>
  <si>
    <t>QMTR-W4-B-12</t>
  </si>
  <si>
    <t>XR1000-BOSS-01-M1</t>
  </si>
  <si>
    <t>Q2125</t>
  </si>
  <si>
    <t>JKM380M-6RL3-B</t>
  </si>
  <si>
    <t>KLEIN</t>
  </si>
  <si>
    <t>32500MAG</t>
  </si>
  <si>
    <t>32807MAG</t>
  </si>
  <si>
    <t>CL390</t>
  </si>
  <si>
    <t>K12065CR</t>
  </si>
  <si>
    <t>KTSB01</t>
  </si>
  <si>
    <t>KTSB03</t>
  </si>
  <si>
    <t>KTSB14</t>
  </si>
  <si>
    <t>KTSB15</t>
  </si>
  <si>
    <t>MM400</t>
  </si>
  <si>
    <t>NCVT2P</t>
  </si>
  <si>
    <t>LG370N1K-A6</t>
  </si>
  <si>
    <t>LONGI</t>
  </si>
  <si>
    <t>LR4-60HPB-355M</t>
  </si>
  <si>
    <t>300-166</t>
  </si>
  <si>
    <t>NEP</t>
  </si>
  <si>
    <t>PVG-1</t>
  </si>
  <si>
    <t>PVG-E-KIT</t>
  </si>
  <si>
    <t>POWUR</t>
  </si>
  <si>
    <t>02-319</t>
  </si>
  <si>
    <t>03-403</t>
  </si>
  <si>
    <t>04-108</t>
  </si>
  <si>
    <t>04-215</t>
  </si>
  <si>
    <t>04-221</t>
  </si>
  <si>
    <t>05-108</t>
  </si>
  <si>
    <t>07-111</t>
  </si>
  <si>
    <t>RACKA</t>
  </si>
  <si>
    <t>REC</t>
  </si>
  <si>
    <t>RT2-04-FBN25</t>
  </si>
  <si>
    <t>1458.2J</t>
  </si>
  <si>
    <t>SN20-60MBE-330V</t>
  </si>
  <si>
    <t>SIL 370 HC</t>
  </si>
  <si>
    <t>SIL 380 BK</t>
  </si>
  <si>
    <t>232-01106</t>
  </si>
  <si>
    <t>232-01376</t>
  </si>
  <si>
    <t>232-02484</t>
  </si>
  <si>
    <t>232-02539</t>
  </si>
  <si>
    <t>232-60055</t>
  </si>
  <si>
    <t>232-60056</t>
  </si>
  <si>
    <t>232-60057</t>
  </si>
  <si>
    <t>242-00017</t>
  </si>
  <si>
    <t>242-01219</t>
  </si>
  <si>
    <t>242-01270</t>
  </si>
  <si>
    <t>242-02071</t>
  </si>
  <si>
    <t>242-02101</t>
  </si>
  <si>
    <t>242-02104</t>
  </si>
  <si>
    <t>242-02215</t>
  </si>
  <si>
    <t>242-02729</t>
  </si>
  <si>
    <t>242-92093</t>
  </si>
  <si>
    <t>242-92106</t>
  </si>
  <si>
    <t>242-92107</t>
  </si>
  <si>
    <t>242-92108</t>
  </si>
  <si>
    <t>242-92266</t>
  </si>
  <si>
    <t>SE10000H-USSNBBL14</t>
  </si>
  <si>
    <t>SE11400H-USSNBBL14</t>
  </si>
  <si>
    <t>SECT-SPL-225A-T-20</t>
  </si>
  <si>
    <t>SPAN</t>
  </si>
  <si>
    <t>8910DP32V14</t>
  </si>
  <si>
    <t>SC816F200PS</t>
  </si>
  <si>
    <t>A20288-206-ML</t>
  </si>
  <si>
    <t>632S</t>
  </si>
  <si>
    <t>C2CG</t>
  </si>
  <si>
    <t>LL4CG</t>
  </si>
  <si>
    <t>LR4CG</t>
  </si>
  <si>
    <t>P472</t>
  </si>
  <si>
    <t>P473</t>
  </si>
  <si>
    <t>P492</t>
  </si>
  <si>
    <t>P493</t>
  </si>
  <si>
    <t>T2CG</t>
  </si>
  <si>
    <t>T3CG</t>
  </si>
  <si>
    <t>TPLNK</t>
  </si>
  <si>
    <t>TRINA</t>
  </si>
  <si>
    <t>250111U</t>
  </si>
  <si>
    <t>253010U</t>
  </si>
  <si>
    <t>253030U</t>
  </si>
  <si>
    <t>URE</t>
  </si>
  <si>
    <t>FAK440E8G-BB</t>
  </si>
  <si>
    <t>FAM365E7G-BB</t>
  </si>
  <si>
    <t>WALBX</t>
  </si>
  <si>
    <t>PUP1-U-1-5-N-002-A</t>
  </si>
  <si>
    <t>DVTCH</t>
  </si>
  <si>
    <t>GENRC</t>
  </si>
  <si>
    <t>C25BNB230T</t>
  </si>
  <si>
    <t>C25FNF260T</t>
  </si>
  <si>
    <t>DS16FK</t>
  </si>
  <si>
    <t>FRA-M60T-CA-W1</t>
  </si>
  <si>
    <t>Q215</t>
  </si>
  <si>
    <t>FBM8X20MM</t>
  </si>
  <si>
    <t>PROTEABRACKET</t>
  </si>
  <si>
    <t>S1415MW</t>
  </si>
  <si>
    <t>QO215</t>
  </si>
  <si>
    <t>K50049-BK1</t>
  </si>
  <si>
    <t>K50055-BK1</t>
  </si>
  <si>
    <t>K50058-BK1</t>
  </si>
  <si>
    <t>QCELL</t>
  </si>
  <si>
    <t>RFTCH</t>
  </si>
  <si>
    <t>T50I0UVC5</t>
  </si>
  <si>
    <t>T50I0UVC14</t>
  </si>
  <si>
    <t>T50I0UVC26</t>
  </si>
  <si>
    <t>T50I0UVC38</t>
  </si>
  <si>
    <t>02-315</t>
  </si>
  <si>
    <t>02-317</t>
  </si>
  <si>
    <t>02-318</t>
  </si>
  <si>
    <t>02-320</t>
  </si>
  <si>
    <t>02-321</t>
  </si>
  <si>
    <t>02-322</t>
  </si>
  <si>
    <t>02-323</t>
  </si>
  <si>
    <t>RACKGALV2-3/8X252</t>
  </si>
  <si>
    <t>RACKGALV3-1/2X288</t>
  </si>
  <si>
    <t>RACKGALV3X120</t>
  </si>
  <si>
    <t>EZSLR</t>
  </si>
  <si>
    <t>LG340N1K-L5</t>
  </si>
  <si>
    <t>OMGIN</t>
  </si>
  <si>
    <t>Q.PEAK DUO BLK-G6 340</t>
  </si>
  <si>
    <t>RECSO</t>
  </si>
  <si>
    <t>S-5-N</t>
  </si>
  <si>
    <t>SOLAD</t>
  </si>
  <si>
    <t>0766-41AD</t>
  </si>
  <si>
    <t>SOLAK</t>
  </si>
  <si>
    <t>SOLTC</t>
  </si>
  <si>
    <t>HOM215</t>
  </si>
  <si>
    <t>KO53</t>
  </si>
  <si>
    <t>P471</t>
  </si>
  <si>
    <t>004275D</t>
  </si>
  <si>
    <t>004275M</t>
  </si>
  <si>
    <t>DNA-120-MF26-370W</t>
  </si>
  <si>
    <t>NMUF50</t>
  </si>
  <si>
    <t>003DEKSQ35</t>
  </si>
  <si>
    <t>431LT2</t>
  </si>
  <si>
    <t>472LTI2</t>
  </si>
  <si>
    <t>521DC2</t>
  </si>
  <si>
    <t>522DC2</t>
  </si>
  <si>
    <t>531DC</t>
  </si>
  <si>
    <t>532DC</t>
  </si>
  <si>
    <t>1PL43</t>
  </si>
  <si>
    <t>YAGB4CLTC516FXOEM</t>
  </si>
  <si>
    <t>YC6L12</t>
  </si>
  <si>
    <t>CS1Y-400MS</t>
  </si>
  <si>
    <t>CPCOL</t>
  </si>
  <si>
    <t>CPCOXLG</t>
  </si>
  <si>
    <t>CPPS12</t>
  </si>
  <si>
    <t>CPSWII10.5</t>
  </si>
  <si>
    <t>CPSWII11</t>
  </si>
  <si>
    <t>CPSWII11.5</t>
  </si>
  <si>
    <t>CPSWII12</t>
  </si>
  <si>
    <t>CPSWII9</t>
  </si>
  <si>
    <t>CPSWII9.5</t>
  </si>
  <si>
    <t>F1212CL</t>
  </si>
  <si>
    <t>F1270BL</t>
  </si>
  <si>
    <t>F1270DB</t>
  </si>
  <si>
    <t>F1270WH</t>
  </si>
  <si>
    <t>F1367GR</t>
  </si>
  <si>
    <t>CP-720-DBC</t>
  </si>
  <si>
    <t>CP-AC-TOOL</t>
  </si>
  <si>
    <t>CP-GWY-100</t>
  </si>
  <si>
    <t>CP-MTC-1.025</t>
  </si>
  <si>
    <t>CP-MTC-JBOX</t>
  </si>
  <si>
    <t>CP-WTRPF-CAP</t>
  </si>
  <si>
    <t>CTEED</t>
  </si>
  <si>
    <t>BR2020</t>
  </si>
  <si>
    <t>GBK1420</t>
  </si>
  <si>
    <t>CELLMODEM-M1</t>
  </si>
  <si>
    <t>ENCHARGE-10T-1P-NA</t>
  </si>
  <si>
    <t>ENCHARGE-3T-1P-NA</t>
  </si>
  <si>
    <t>ENV-IQ-AM3-3P</t>
  </si>
  <si>
    <t>EP-NA-LK02-040</t>
  </si>
  <si>
    <t>EP200G-NA-02-RSD</t>
  </si>
  <si>
    <t>X-IQ-AM1-240-4</t>
  </si>
  <si>
    <t>JB-1.2</t>
  </si>
  <si>
    <t>JB-1.XL</t>
  </si>
  <si>
    <t>THQL21100</t>
  </si>
  <si>
    <t>G0080001</t>
  </si>
  <si>
    <t>QMC-QC1.25 R 12</t>
  </si>
  <si>
    <t>UFO-STP-30MM-M1</t>
  </si>
  <si>
    <t>PN2040L1200C</t>
  </si>
  <si>
    <t>JKM405M-72HL-V</t>
  </si>
  <si>
    <t>JKM410M-72HL-V</t>
  </si>
  <si>
    <t>LG380N1C-A6</t>
  </si>
  <si>
    <t>END-CAP</t>
  </si>
  <si>
    <t>2T</t>
  </si>
  <si>
    <t>832X12RHCMSZJ</t>
  </si>
  <si>
    <t>01-02</t>
  </si>
  <si>
    <t>02-1-CUSTOM</t>
  </si>
  <si>
    <t>04-316</t>
  </si>
  <si>
    <t>04-412</t>
  </si>
  <si>
    <t>04-622</t>
  </si>
  <si>
    <t>BWCWIFIDG0SLX-U000</t>
  </si>
  <si>
    <t>Q.PEAK DUO BLK ML-G10+ 400</t>
  </si>
  <si>
    <t>Q.PEAK DUO BLK ML-G10.A+ 395</t>
  </si>
  <si>
    <t>Q.PEAK DUO BLK-G10+ 360</t>
  </si>
  <si>
    <t>Q.PEAK DUO BLK-G10+/AC 360</t>
  </si>
  <si>
    <t>REC365TP4 BLACK</t>
  </si>
  <si>
    <t>REC400AA PURE</t>
  </si>
  <si>
    <t>S-5-H</t>
  </si>
  <si>
    <t>S-5-S</t>
  </si>
  <si>
    <t>232-02541</t>
  </si>
  <si>
    <t>242-01214</t>
  </si>
  <si>
    <t>242-01230</t>
  </si>
  <si>
    <t>242-02167</t>
  </si>
  <si>
    <t>242-02168</t>
  </si>
  <si>
    <t>BI-NUSGN-02</t>
  </si>
  <si>
    <t>CB-UPG-40-01</t>
  </si>
  <si>
    <t>CB-UPG-63-01</t>
  </si>
  <si>
    <t>S440</t>
  </si>
  <si>
    <t>1-00800-XX</t>
  </si>
  <si>
    <t>STACK</t>
  </si>
  <si>
    <t>A20422-168-ML</t>
  </si>
  <si>
    <t>A20440-BK1</t>
  </si>
  <si>
    <t>K10179-002</t>
  </si>
  <si>
    <t>K10418-BK3</t>
  </si>
  <si>
    <t>K10421-002</t>
  </si>
  <si>
    <t>K10433-BK1</t>
  </si>
  <si>
    <t>K10469-001</t>
  </si>
  <si>
    <t>K50052-001</t>
  </si>
  <si>
    <t>158-00000-02</t>
  </si>
  <si>
    <t>346-00000-00</t>
  </si>
  <si>
    <t>S-19190GR-X</t>
  </si>
  <si>
    <t>URECO</t>
  </si>
  <si>
    <t>FBM400MFG-BB</t>
  </si>
  <si>
    <t>THHN12STRBLU</t>
  </si>
  <si>
    <t>S5_</t>
  </si>
  <si>
    <t>IQ7A-72-M-US</t>
  </si>
  <si>
    <t>IQ7PLUS-72-M-US</t>
  </si>
  <si>
    <t>AGSMS</t>
  </si>
  <si>
    <t>AMWTH</t>
  </si>
  <si>
    <t>BUSS</t>
  </si>
  <si>
    <t>CONDR</t>
  </si>
  <si>
    <t>CPAWS</t>
  </si>
  <si>
    <t>FRANK</t>
  </si>
  <si>
    <t>GALV</t>
  </si>
  <si>
    <t>JASOL</t>
  </si>
  <si>
    <t>LF</t>
  </si>
  <si>
    <t>LITHN</t>
  </si>
  <si>
    <t>LUMI</t>
  </si>
  <si>
    <t>MITRX</t>
  </si>
  <si>
    <t>PHONO</t>
  </si>
  <si>
    <t>PRIOR</t>
  </si>
  <si>
    <t>S4A</t>
  </si>
  <si>
    <t>SCHSO</t>
  </si>
  <si>
    <t>SIEM</t>
  </si>
  <si>
    <t>SOLEC</t>
  </si>
  <si>
    <t>SUNGR</t>
  </si>
  <si>
    <t>SWIRE</t>
  </si>
  <si>
    <t>VSUN</t>
  </si>
  <si>
    <t>WEST</t>
  </si>
  <si>
    <t>WILY</t>
  </si>
  <si>
    <t>WIRPV</t>
  </si>
  <si>
    <t>OT-MOD3-1550</t>
  </si>
  <si>
    <t>DNA-120-BF10-440</t>
  </si>
  <si>
    <t>DNA-144-BF26-440W</t>
  </si>
  <si>
    <t xml:space="preserve">103S                </t>
  </si>
  <si>
    <t>1522DC</t>
  </si>
  <si>
    <t xml:space="preserve">162G                </t>
  </si>
  <si>
    <t xml:space="preserve">163G                </t>
  </si>
  <si>
    <t xml:space="preserve">251RT2              </t>
  </si>
  <si>
    <t xml:space="preserve">252RT2              </t>
  </si>
  <si>
    <t xml:space="preserve">262RT               </t>
  </si>
  <si>
    <t xml:space="preserve">284DC               </t>
  </si>
  <si>
    <t>382DC</t>
  </si>
  <si>
    <t>383DC</t>
  </si>
  <si>
    <t>410DC2</t>
  </si>
  <si>
    <t>560DC2</t>
  </si>
  <si>
    <t>582DC</t>
  </si>
  <si>
    <t>583DC</t>
  </si>
  <si>
    <t>82DC</t>
  </si>
  <si>
    <t>921S</t>
  </si>
  <si>
    <t>922S</t>
  </si>
  <si>
    <t>LB42CG</t>
  </si>
  <si>
    <t>LL42CG</t>
  </si>
  <si>
    <t>LR42CG</t>
  </si>
  <si>
    <t xml:space="preserve">SR075               </t>
  </si>
  <si>
    <t xml:space="preserve">SR100               </t>
  </si>
  <si>
    <t xml:space="preserve">SR125               </t>
  </si>
  <si>
    <t xml:space="preserve">SR200               </t>
  </si>
  <si>
    <t>T42CG</t>
  </si>
  <si>
    <t>BIPC3504/0</t>
  </si>
  <si>
    <t>BIPC4/01/0</t>
  </si>
  <si>
    <t>YAGB26LTC38FXOEM</t>
  </si>
  <si>
    <t>CS3N-390MS</t>
  </si>
  <si>
    <t>CS3N-395MS</t>
  </si>
  <si>
    <t>CS3W-450MB-AG</t>
  </si>
  <si>
    <t>CS6W-525MB-AG</t>
  </si>
  <si>
    <t>EMT-1/2</t>
  </si>
  <si>
    <t>EMT-3/4</t>
  </si>
  <si>
    <t>EMT1-1/2</t>
  </si>
  <si>
    <t>EMT1-1/4</t>
  </si>
  <si>
    <t>DOMECAP 3.5</t>
  </si>
  <si>
    <t>CT370HC11-06</t>
  </si>
  <si>
    <t>BJ2200</t>
  </si>
  <si>
    <t>BQ220240</t>
  </si>
  <si>
    <t>BQ220250</t>
  </si>
  <si>
    <t>BR2040PV200R</t>
  </si>
  <si>
    <t>BR215B</t>
  </si>
  <si>
    <t>BREQS125</t>
  </si>
  <si>
    <t>BRP16L125R</t>
  </si>
  <si>
    <t>BRP20N200R</t>
  </si>
  <si>
    <t>BRPL200</t>
  </si>
  <si>
    <t>DG324URK</t>
  </si>
  <si>
    <t>MB2040PV200BTS</t>
  </si>
  <si>
    <t>ECNR100</t>
  </si>
  <si>
    <t>ECNR125</t>
  </si>
  <si>
    <t>ECNR150</t>
  </si>
  <si>
    <t>ECNR175</t>
  </si>
  <si>
    <t>ECNR20</t>
  </si>
  <si>
    <t>ECNR200</t>
  </si>
  <si>
    <t>ECNR35</t>
  </si>
  <si>
    <t>ECNR40</t>
  </si>
  <si>
    <t>ECNR50</t>
  </si>
  <si>
    <t>ECNR60</t>
  </si>
  <si>
    <t>ECNR80</t>
  </si>
  <si>
    <t>B03T-C-0430-O</t>
  </si>
  <si>
    <t>B10T-C-1290-O</t>
  </si>
  <si>
    <t>CELLMODEM-M1-06-AT-05</t>
  </si>
  <si>
    <t>CT-200-SOLID</t>
  </si>
  <si>
    <t>EP200G-SC2-RSD-KIT</t>
  </si>
  <si>
    <t>IQ8-60-2-US</t>
  </si>
  <si>
    <t>IQ8A-72-2-US</t>
  </si>
  <si>
    <t>IQ8A-72-M-US</t>
  </si>
  <si>
    <t>IQ8M-72-2-US</t>
  </si>
  <si>
    <t>IQ8M-72-M-US</t>
  </si>
  <si>
    <t>IQ8PLUS-72-M-US</t>
  </si>
  <si>
    <t>JB-2</t>
  </si>
  <si>
    <t>LT-3/4NM</t>
  </si>
  <si>
    <t>LT-3/4UAGRY</t>
  </si>
  <si>
    <t>LT1-1/4NM</t>
  </si>
  <si>
    <t>LT1-1/4UAGRY</t>
  </si>
  <si>
    <t>LT1NM</t>
  </si>
  <si>
    <t>LT1UAGRY</t>
  </si>
  <si>
    <t>RWA-3/4</t>
  </si>
  <si>
    <t>RWA1-1/4</t>
  </si>
  <si>
    <t>RWA2</t>
  </si>
  <si>
    <t>AGT-R1V1-US</t>
  </si>
  <si>
    <t>APR-05K13V1-US</t>
  </si>
  <si>
    <t>GR6250</t>
  </si>
  <si>
    <t>0H3421S</t>
  </si>
  <si>
    <t>CP-250E-IBC</t>
  </si>
  <si>
    <t>CP-MTC-1.7</t>
  </si>
  <si>
    <t>CP-MTC-2.15</t>
  </si>
  <si>
    <t>RS802</t>
  </si>
  <si>
    <t>M8437GBK-SM</t>
  </si>
  <si>
    <t>S6438</t>
  </si>
  <si>
    <t>HIN-S365XG(BK)</t>
  </si>
  <si>
    <t>HIS-S365XG(BK)</t>
  </si>
  <si>
    <t>HIS-S400YH(BK)</t>
  </si>
  <si>
    <t>IPC4/02/0</t>
  </si>
  <si>
    <t>IPC4/06</t>
  </si>
  <si>
    <t>IPC500250</t>
  </si>
  <si>
    <t>PBTS23/0</t>
  </si>
  <si>
    <t xml:space="preserve">SGB4                </t>
  </si>
  <si>
    <t>ULT5Z</t>
  </si>
  <si>
    <t>CTR-CAP-01-B1</t>
  </si>
  <si>
    <t>CTR-CL-01-B1</t>
  </si>
  <si>
    <t>CTR-OUT-01-B1</t>
  </si>
  <si>
    <t>CTR-SPLC-01-M1</t>
  </si>
  <si>
    <t>CTR-TR84-01-B1</t>
  </si>
  <si>
    <t>FF2-02-B2</t>
  </si>
  <si>
    <t>FF2-02-M2</t>
  </si>
  <si>
    <t>GM-DB-HW01-M1</t>
  </si>
  <si>
    <t>GM-DB3-SLV01-M1</t>
  </si>
  <si>
    <t>GM-DB3-TB01-M1</t>
  </si>
  <si>
    <t>HW-RD1430-01-M1</t>
  </si>
  <si>
    <t>KOB-1L02-B1</t>
  </si>
  <si>
    <t>QM-HUG-01-B1</t>
  </si>
  <si>
    <t>QM-HUG-01-M1</t>
  </si>
  <si>
    <t>QM-JBX-RL01-B1</t>
  </si>
  <si>
    <t>QM-JBX-RL02-B1</t>
  </si>
  <si>
    <t>QM-LMST-01-B1</t>
  </si>
  <si>
    <t>QM-LYNX-SS-M1</t>
  </si>
  <si>
    <t>JAM54S31-385/MR</t>
  </si>
  <si>
    <t>JKM390M-72HBL-V</t>
  </si>
  <si>
    <t>1200BIP</t>
  </si>
  <si>
    <t>D2038</t>
  </si>
  <si>
    <t>D2139NE</t>
  </si>
  <si>
    <t>J2158CR</t>
  </si>
  <si>
    <t>NCVT5A</t>
  </si>
  <si>
    <t>LG405N3K-A6</t>
  </si>
  <si>
    <t>HG-FS48100-15OSJ1</t>
  </si>
  <si>
    <t>HG-FS48100-INT-A1</t>
  </si>
  <si>
    <t>HG-MC100-200M2</t>
  </si>
  <si>
    <t>LR4-60HPB-360M</t>
  </si>
  <si>
    <t>LSP-OUTDOOR</t>
  </si>
  <si>
    <t>A60Q40-2</t>
  </si>
  <si>
    <t>101036GSC1</t>
  </si>
  <si>
    <t>6648GSC3R</t>
  </si>
  <si>
    <t>8848GSC1</t>
  </si>
  <si>
    <t xml:space="preserve">U7040XLTGHSP        </t>
  </si>
  <si>
    <t xml:space="preserve">U9551XQGHSP         </t>
  </si>
  <si>
    <t xml:space="preserve">UAP9551XQGHSP       </t>
  </si>
  <si>
    <t>MSE385SX5R</t>
  </si>
  <si>
    <t>MSE425SX9Z</t>
  </si>
  <si>
    <t>M405-L3H</t>
  </si>
  <si>
    <t>M1080249</t>
  </si>
  <si>
    <t>M1080250</t>
  </si>
  <si>
    <t>M2020098</t>
  </si>
  <si>
    <t>NC0076</t>
  </si>
  <si>
    <t>NC0095-A1</t>
  </si>
  <si>
    <t>NC0124-US-BK</t>
  </si>
  <si>
    <t>NC0142-L-US-BQ</t>
  </si>
  <si>
    <t>NC0142-US-BQ</t>
  </si>
  <si>
    <t xml:space="preserve">2/014818            </t>
  </si>
  <si>
    <t>GLC4DBP</t>
  </si>
  <si>
    <t>IPCS2546</t>
  </si>
  <si>
    <t>SCWL1Q</t>
  </si>
  <si>
    <t>WW716BL</t>
  </si>
  <si>
    <t>WW716GN</t>
  </si>
  <si>
    <t>WW716RD</t>
  </si>
  <si>
    <t>WW716WT</t>
  </si>
  <si>
    <t xml:space="preserve">10X112HWHSTSZJ      </t>
  </si>
  <si>
    <t xml:space="preserve">10X114HTJ           </t>
  </si>
  <si>
    <t xml:space="preserve">10X212HWHSTSZJ      </t>
  </si>
  <si>
    <t xml:space="preserve">14FWUSSZJ           </t>
  </si>
  <si>
    <t xml:space="preserve">14X1FWZJ            </t>
  </si>
  <si>
    <t xml:space="preserve">3802J               </t>
  </si>
  <si>
    <t xml:space="preserve">3902J               </t>
  </si>
  <si>
    <t xml:space="preserve">DS5                 </t>
  </si>
  <si>
    <t>PS450M4-24/TH</t>
  </si>
  <si>
    <t>12-06MCA/HR/1000RL</t>
  </si>
  <si>
    <t>12-08MCA/HR/1000RL</t>
  </si>
  <si>
    <t>18-02TC-VN-SHD</t>
  </si>
  <si>
    <t>18-06STR-SH-PLEN-500</t>
  </si>
  <si>
    <t>2HCL-3/4</t>
  </si>
  <si>
    <t>2HCL1</t>
  </si>
  <si>
    <t>BA-1/2</t>
  </si>
  <si>
    <t>BA-3/4</t>
  </si>
  <si>
    <t>BA1</t>
  </si>
  <si>
    <t>BA1-1/2</t>
  </si>
  <si>
    <t>BA1-1/4</t>
  </si>
  <si>
    <t>BA2</t>
  </si>
  <si>
    <t>CEMENTPT</t>
  </si>
  <si>
    <t>CEMENTQT</t>
  </si>
  <si>
    <t>COND-1/2</t>
  </si>
  <si>
    <t>COND-3/4</t>
  </si>
  <si>
    <t>COND1-1/2</t>
  </si>
  <si>
    <t>COND1-1/4</t>
  </si>
  <si>
    <t>CONDS80-1/2</t>
  </si>
  <si>
    <t>CONDS80-3/4</t>
  </si>
  <si>
    <t>CONDS801-1/2</t>
  </si>
  <si>
    <t>CONDS801-1/4</t>
  </si>
  <si>
    <t>CPL-1/2</t>
  </si>
  <si>
    <t>CPL-3/4</t>
  </si>
  <si>
    <t>CPL1-1/2</t>
  </si>
  <si>
    <t>CPL1-1/4</t>
  </si>
  <si>
    <t>EL-3/4</t>
  </si>
  <si>
    <t>EL-3/445</t>
  </si>
  <si>
    <t>EL1-1/2</t>
  </si>
  <si>
    <t>EL1-1/245</t>
  </si>
  <si>
    <t>EL1-1/4</t>
  </si>
  <si>
    <t>ELEXP-1/2</t>
  </si>
  <si>
    <t>ELEXP-3/4</t>
  </si>
  <si>
    <t>ELEXP1</t>
  </si>
  <si>
    <t>ELEXP1-1/4</t>
  </si>
  <si>
    <t>ELS801-1/2</t>
  </si>
  <si>
    <t>ELS801-1/4</t>
  </si>
  <si>
    <t>ELS801-1/445</t>
  </si>
  <si>
    <t>FA-1/2</t>
  </si>
  <si>
    <t>FA-3/4</t>
  </si>
  <si>
    <t>FA1-1/2</t>
  </si>
  <si>
    <t>FA1-1/4</t>
  </si>
  <si>
    <t>LB-1/2</t>
  </si>
  <si>
    <t>LB-3/4</t>
  </si>
  <si>
    <t>LB1-1/2</t>
  </si>
  <si>
    <t>LB1-1/4</t>
  </si>
  <si>
    <t>LL-3/4</t>
  </si>
  <si>
    <t>LL1-1/4</t>
  </si>
  <si>
    <t>LR-3/4</t>
  </si>
  <si>
    <t>LR1-1/4</t>
  </si>
  <si>
    <t>OSN1-1/4</t>
  </si>
  <si>
    <t>OSN2</t>
  </si>
  <si>
    <t>T-3/4</t>
  </si>
  <si>
    <t>TA-1/2</t>
  </si>
  <si>
    <t>TA-3/4</t>
  </si>
  <si>
    <t>TA1-1/2</t>
  </si>
  <si>
    <t>TA1-1/4</t>
  </si>
  <si>
    <t>01-01</t>
  </si>
  <si>
    <t>01-03</t>
  </si>
  <si>
    <t>01-04</t>
  </si>
  <si>
    <t>LUMIO LABEL PACK</t>
  </si>
  <si>
    <t>Q.PEAK DUO BLK-G10+ 365</t>
  </si>
  <si>
    <t>Q.PEAK DUO BLK-G10+/AC 365</t>
  </si>
  <si>
    <t>Q.PEAK DUO BLK-G10+/HL 365</t>
  </si>
  <si>
    <t>Q.PEAK DUO XL-G10.3/BFG 480</t>
  </si>
  <si>
    <t>Q.PEAK DUO-G6+ 350</t>
  </si>
  <si>
    <t>Q.PEAK DUO-L-G7.3 395</t>
  </si>
  <si>
    <t>REC360TP4 BLACK</t>
  </si>
  <si>
    <t>REC365NP2 BLACK</t>
  </si>
  <si>
    <t>REC395AA PURE</t>
  </si>
  <si>
    <t>REC405AA PURE</t>
  </si>
  <si>
    <t>S4A-US330B</t>
  </si>
  <si>
    <t>GAUGE TOOL - CLAMP TO SEAM</t>
  </si>
  <si>
    <t>S1415MM</t>
  </si>
  <si>
    <t>SD1425GV</t>
  </si>
  <si>
    <t>SNGS5FNSS</t>
  </si>
  <si>
    <t>Q1520NC</t>
  </si>
  <si>
    <t>SIL 400 HC+</t>
  </si>
  <si>
    <t>SIL 410 BG</t>
  </si>
  <si>
    <t>232-04077</t>
  </si>
  <si>
    <t>242-02150</t>
  </si>
  <si>
    <t>242-92120</t>
  </si>
  <si>
    <t>SA-LIMITLESS-15K</t>
  </si>
  <si>
    <t>ENC-G4</t>
  </si>
  <si>
    <t>BAT-10K1PS0B-02</t>
  </si>
  <si>
    <t>BI-EUSGN-02</t>
  </si>
  <si>
    <t>ENET-HBNP-01</t>
  </si>
  <si>
    <t>IAC-RBAT-USYCBL-01</t>
  </si>
  <si>
    <t>P1101</t>
  </si>
  <si>
    <t>S500</t>
  </si>
  <si>
    <t>SE-WFGW-B-S1-NA</t>
  </si>
  <si>
    <t>SE10000H-US000BEU4</t>
  </si>
  <si>
    <t>SE11400H-USMNBBL14</t>
  </si>
  <si>
    <t>SE3800H-US000BNI4</t>
  </si>
  <si>
    <t>SE7600H-USMNBBL14</t>
  </si>
  <si>
    <t>POWERX-400R</t>
  </si>
  <si>
    <t>B250</t>
  </si>
  <si>
    <t>DRK40</t>
  </si>
  <si>
    <t>PK23GTA</t>
  </si>
  <si>
    <t>PK3GTA1</t>
  </si>
  <si>
    <t>SS-CLEANER</t>
  </si>
  <si>
    <t>SS-TPO PRIMER</t>
  </si>
  <si>
    <t>SG36CX</t>
  </si>
  <si>
    <t>SG60CX</t>
  </si>
  <si>
    <t>A20422-168-BK</t>
  </si>
  <si>
    <t>A20444-212-ML</t>
  </si>
  <si>
    <t>A20445-001</t>
  </si>
  <si>
    <t>C10055-BK1</t>
  </si>
  <si>
    <t>K10178-001</t>
  </si>
  <si>
    <t>K10343-005</t>
  </si>
  <si>
    <t>K10417-BK3</t>
  </si>
  <si>
    <t>K10461-107-BK</t>
  </si>
  <si>
    <t>K10469-003</t>
  </si>
  <si>
    <t>K50052-003</t>
  </si>
  <si>
    <t>K50055-BK2</t>
  </si>
  <si>
    <t>102TZ</t>
  </si>
  <si>
    <t>132TZ</t>
  </si>
  <si>
    <t>266TZ</t>
  </si>
  <si>
    <t>452TZ</t>
  </si>
  <si>
    <t>453TZ</t>
  </si>
  <si>
    <t>552TZ</t>
  </si>
  <si>
    <t>553TZ</t>
  </si>
  <si>
    <t>602TZ</t>
  </si>
  <si>
    <t>603TZ</t>
  </si>
  <si>
    <t xml:space="preserve">652SIRT             </t>
  </si>
  <si>
    <t xml:space="preserve">652SRT              </t>
  </si>
  <si>
    <t xml:space="preserve">653SIRT             </t>
  </si>
  <si>
    <t xml:space="preserve">653SRT              </t>
  </si>
  <si>
    <t xml:space="preserve">654SRT              </t>
  </si>
  <si>
    <t xml:space="preserve">662SRT              </t>
  </si>
  <si>
    <t xml:space="preserve">663SRT              </t>
  </si>
  <si>
    <t xml:space="preserve">664SRT              </t>
  </si>
  <si>
    <t>831TZ</t>
  </si>
  <si>
    <t>832TZ</t>
  </si>
  <si>
    <t>834TZ</t>
  </si>
  <si>
    <t>835TZ</t>
  </si>
  <si>
    <t>LTF34</t>
  </si>
  <si>
    <t>P474</t>
  </si>
  <si>
    <t>P494</t>
  </si>
  <si>
    <t>PKO51</t>
  </si>
  <si>
    <t>S612STR</t>
  </si>
  <si>
    <t>461-00252-32</t>
  </si>
  <si>
    <t>601-2107K6-0503</t>
  </si>
  <si>
    <t>601-2111K4-0503</t>
  </si>
  <si>
    <t>TSM-335-DD06M.05(II)</t>
  </si>
  <si>
    <t>TSM-360-DE06X.05(II)</t>
  </si>
  <si>
    <t>TSM-365-DE06X.05(II)</t>
  </si>
  <si>
    <t>TSM-390-DE09.05(II)</t>
  </si>
  <si>
    <t>TSM-390-DE09C.07</t>
  </si>
  <si>
    <t>003250W</t>
  </si>
  <si>
    <t>168RLD1</t>
  </si>
  <si>
    <t>168RLM1</t>
  </si>
  <si>
    <t>CCLAMPD1</t>
  </si>
  <si>
    <t>ENDCAPD1</t>
  </si>
  <si>
    <t>LUGMLPE1</t>
  </si>
  <si>
    <t>RLSPLCM1</t>
  </si>
  <si>
    <t>SHCLMPD1</t>
  </si>
  <si>
    <t>SHCLMPM1</t>
  </si>
  <si>
    <t>SHCPKTD1</t>
  </si>
  <si>
    <t>SHCPKTM1</t>
  </si>
  <si>
    <t>WRMCLPD1</t>
  </si>
  <si>
    <t>WRMCNSD1</t>
  </si>
  <si>
    <t>FBM445M7G-BB</t>
  </si>
  <si>
    <t>VSUN370-120BMH</t>
  </si>
  <si>
    <t>VSUN400-108M-BB</t>
  </si>
  <si>
    <t>VSUN450-144BMH-DG</t>
  </si>
  <si>
    <t>221-612</t>
  </si>
  <si>
    <t>221-613</t>
  </si>
  <si>
    <t>221-615</t>
  </si>
  <si>
    <t>PUP1-U-1-6-C-002-A</t>
  </si>
  <si>
    <t>WEEB-LUG-6.7AS</t>
  </si>
  <si>
    <t>18STRMTW-TIN-BK500</t>
  </si>
  <si>
    <t>A21802</t>
  </si>
  <si>
    <t>BARESD4SOLCU200R</t>
  </si>
  <si>
    <t>BARESD6SOL315R</t>
  </si>
  <si>
    <t>BARESD8SOL500R</t>
  </si>
  <si>
    <t>MC10/2WG</t>
  </si>
  <si>
    <t>MC10/3WG</t>
  </si>
  <si>
    <t>NMB10/2WG250CL</t>
  </si>
  <si>
    <t>NMB10/3WG250R</t>
  </si>
  <si>
    <t>NMB12/2WG1000R</t>
  </si>
  <si>
    <t>NMB12/2WG250CL</t>
  </si>
  <si>
    <t>NMB14/2WG250CL</t>
  </si>
  <si>
    <t>NMB4/3WG125CL</t>
  </si>
  <si>
    <t>THHN1/0STRBLK</t>
  </si>
  <si>
    <t>THHN10STRBLK</t>
  </si>
  <si>
    <t>THHN10STRGRN</t>
  </si>
  <si>
    <t>THHN10STRRED</t>
  </si>
  <si>
    <t>THHN10STRWHT</t>
  </si>
  <si>
    <t>THHN12STRBLK</t>
  </si>
  <si>
    <t>THHN12STRGRN</t>
  </si>
  <si>
    <t>THHN12STRRED</t>
  </si>
  <si>
    <t>THHN12STRWHT</t>
  </si>
  <si>
    <t>THHN14STRBLK</t>
  </si>
  <si>
    <t>THHN14STRGRN</t>
  </si>
  <si>
    <t>THHN14STRWHT</t>
  </si>
  <si>
    <t>THHN1STRBLK</t>
  </si>
  <si>
    <t>THHN2STRBLK</t>
  </si>
  <si>
    <t>THHN3/0STRBLK</t>
  </si>
  <si>
    <t>THHN3STRBLK</t>
  </si>
  <si>
    <t>THHN3STRWHT</t>
  </si>
  <si>
    <t>THHN4STRBLK</t>
  </si>
  <si>
    <t>THHN4STRGRN</t>
  </si>
  <si>
    <t>THHN4STRRED</t>
  </si>
  <si>
    <t>THHN4STRWHT</t>
  </si>
  <si>
    <t>THHN6STRBLK</t>
  </si>
  <si>
    <t>THHN6STRGRN</t>
  </si>
  <si>
    <t>THHN6STRRED</t>
  </si>
  <si>
    <t>THHN6STRWHT</t>
  </si>
  <si>
    <t>THHN8STRBLK</t>
  </si>
  <si>
    <t>THHN8STRGRN</t>
  </si>
  <si>
    <t>THHN8STRRED</t>
  </si>
  <si>
    <t>THHN8STRWHT</t>
  </si>
  <si>
    <t>UF12/2WG250CL</t>
  </si>
  <si>
    <t>WELDINGCBL2/0TYPEM10</t>
  </si>
  <si>
    <t>WELDINGCBL4TYPEK250R</t>
  </si>
  <si>
    <t>WELDINGCBL4TYPEM250R</t>
  </si>
  <si>
    <t>2KVPV10STRBLK500</t>
  </si>
  <si>
    <t>2KVPV10STRRED500</t>
  </si>
  <si>
    <t>PV10STRBLK500</t>
  </si>
  <si>
    <t>PV10STRRED500</t>
  </si>
  <si>
    <t>WD40_</t>
  </si>
  <si>
    <t>MAXON</t>
  </si>
  <si>
    <t>HPHE-102-50H-045DVN</t>
  </si>
  <si>
    <t>BRP08B200RF</t>
  </si>
  <si>
    <t>BW2200</t>
  </si>
  <si>
    <t>ECNR30</t>
  </si>
  <si>
    <t>B03-A01-US00-1-3</t>
  </si>
  <si>
    <t>B03-T01-US00-1-3</t>
  </si>
  <si>
    <t>B10-CX-1050-O</t>
  </si>
  <si>
    <t>BRK-200A-2P-240V</t>
  </si>
  <si>
    <t>CELLMODEM-M1-06-SP-05</t>
  </si>
  <si>
    <t>X2-IQ-AM1-240-4</t>
  </si>
  <si>
    <t>X2-IQ-AM1-240-4C</t>
  </si>
  <si>
    <t>ACCY-GENV1-US</t>
  </si>
  <si>
    <t>ACCY-SCV1-US</t>
  </si>
  <si>
    <t>461700CBLU</t>
  </si>
  <si>
    <t>461700CGRN</t>
  </si>
  <si>
    <t>461700CRED</t>
  </si>
  <si>
    <t>461700CWHT</t>
  </si>
  <si>
    <t>MAX3-410-BLK-R</t>
  </si>
  <si>
    <t>USGM1HEL</t>
  </si>
  <si>
    <t>USGM1IHEL</t>
  </si>
  <si>
    <t>289222CT</t>
  </si>
  <si>
    <t>M390-A1F</t>
  </si>
  <si>
    <t>M410-L3H</t>
  </si>
  <si>
    <t>59014726-0060UL</t>
  </si>
  <si>
    <t>M3020022</t>
  </si>
  <si>
    <t>M3020023</t>
  </si>
  <si>
    <t>M5010195</t>
  </si>
  <si>
    <t>M5010196</t>
  </si>
  <si>
    <t>M5010197</t>
  </si>
  <si>
    <t>M5010198</t>
  </si>
  <si>
    <t>NB020229</t>
  </si>
  <si>
    <t>NC0136-US-BQ</t>
  </si>
  <si>
    <t>SCANNER2022</t>
  </si>
  <si>
    <t>03-116</t>
  </si>
  <si>
    <t>03-344B</t>
  </si>
  <si>
    <t>06-117</t>
  </si>
  <si>
    <t>Q.PEAK DUO BLK ML-G10+/ T 400</t>
  </si>
  <si>
    <t>SENSE ENERGY MONITOR</t>
  </si>
  <si>
    <t>SE11400H-US000BEU4</t>
  </si>
  <si>
    <t>SE5000H-US000BEU4</t>
  </si>
  <si>
    <t>SE6000H-US000BEU4</t>
  </si>
  <si>
    <t>SE7600H-US000BEU4</t>
  </si>
  <si>
    <t>POWERX-390R</t>
  </si>
  <si>
    <t>K10417-003</t>
  </si>
  <si>
    <t>K10418-003</t>
  </si>
  <si>
    <t>K10461-105-BK</t>
  </si>
  <si>
    <t>K10485-001</t>
  </si>
  <si>
    <t>SBUTYLM1</t>
  </si>
  <si>
    <t>XTRABUTL-SH</t>
  </si>
  <si>
    <t>A21804</t>
  </si>
  <si>
    <t>L718ST-05</t>
  </si>
  <si>
    <t>19-JMC4MF10PVSB2002</t>
  </si>
  <si>
    <t>GRND SCRW 61" X 4" (IRIDG 3" GM)</t>
  </si>
  <si>
    <t>PROLINE XE HYBRID 50GAL WATER HTR</t>
  </si>
  <si>
    <t>440W 120C BIFACIAL</t>
  </si>
  <si>
    <t>370W BLK 120C 35MM (26) [806]</t>
  </si>
  <si>
    <t>440W BLACK BIF (31) [682]</t>
  </si>
  <si>
    <t>3/4 CONDUIT HANGER W/BOLT</t>
  </si>
  <si>
    <t>1-IN COND HANGER W/BOLT</t>
  </si>
  <si>
    <t>1/4 1H STL BX  AC/MC STRAP 100/BX</t>
  </si>
  <si>
    <t>1/2 1H STEEL COND STRAP</t>
  </si>
  <si>
    <t>3/4 1H STEEL COND STRAP</t>
  </si>
  <si>
    <t>1-IN 1H STEEL COND STRAP</t>
  </si>
  <si>
    <t>1/2 2H STEEL COND STRAP</t>
  </si>
  <si>
    <t>2-IN 2H STEEL COND STRAP</t>
  </si>
  <si>
    <t>3/4 1H STL EMT STRAP</t>
  </si>
  <si>
    <t>1-1/4 1H STL EMT STRAP</t>
  </si>
  <si>
    <t>1-1/4 STEEL LOCKNUT</t>
  </si>
  <si>
    <t>2-IN STEEL LOCKNUT</t>
  </si>
  <si>
    <t>1/2 PLSTC INS BUSHING</t>
  </si>
  <si>
    <t>3/4 PLSTC INS BUSHING</t>
  </si>
  <si>
    <t>1-IN PLSTC INS BUSHING</t>
  </si>
  <si>
    <t>1-1/4 PLSTC INS BUSHING</t>
  </si>
  <si>
    <t>1-1/2 PLSTC INS BUSHING</t>
  </si>
  <si>
    <t>2-IN PLSTC INS BUSHING</t>
  </si>
  <si>
    <t>3/4" D/C INS COND BUSH (25/BX)</t>
  </si>
  <si>
    <t>1-IN D/C INS COND BUSH</t>
  </si>
  <si>
    <t>2-IN D/C INS COND BUSH</t>
  </si>
  <si>
    <t>3/4 D/C BUSHED NIPPLE</t>
  </si>
  <si>
    <t>1-1/4 D/C BUSHED NIPPLE</t>
  </si>
  <si>
    <t>3/4X1/2 RED BUSH</t>
  </si>
  <si>
    <t>3/4 D/C OFFSET NIPPLE</t>
  </si>
  <si>
    <t>1-1/2 D/C OFFSET NIPPLE</t>
  </si>
  <si>
    <t>3/4 D/C SS EMT CONN</t>
  </si>
  <si>
    <t>1-1/4 D/C SS EMT CONN</t>
  </si>
  <si>
    <t>3/4 EMT COMP CPLG</t>
  </si>
  <si>
    <t>3/4 SNPT SEU CONN</t>
  </si>
  <si>
    <t>1-IN 2-SCR SEC CONN</t>
  </si>
  <si>
    <t>3/4" EMT TO FLEX (25) [100]</t>
  </si>
  <si>
    <t>1" EMT TO FLEX CPLG (10) [40]</t>
  </si>
  <si>
    <t>1-IN SNAP-IN KO BLANK</t>
  </si>
  <si>
    <t>2-IN SNAP-IN KO BLANK</t>
  </si>
  <si>
    <t>1-IN PVC CONDUIT BODY</t>
  </si>
  <si>
    <t>3/4 DIE CAST LOCKNUT</t>
  </si>
  <si>
    <t>3/4IN NM TERMINATOR</t>
  </si>
  <si>
    <t>3/4 FLEX TO EMT COUPLING</t>
  </si>
  <si>
    <t>1-IN FLEX TO EMT COUPLING</t>
  </si>
  <si>
    <t>3/4 D/C SCR-IN FLEX CPLG</t>
  </si>
  <si>
    <t>3/4 SS EMT/RID ELL</t>
  </si>
  <si>
    <t>3/4 .375/.750 NMCRDCONN</t>
  </si>
  <si>
    <t>1-IN STR L/T FLEX CONN</t>
  </si>
  <si>
    <t>1-1/4 STR L/T FLEX CONN</t>
  </si>
  <si>
    <t>3/4 STR L/T FLEX CONN</t>
  </si>
  <si>
    <t>1-IN 90D L/T FLX CONN</t>
  </si>
  <si>
    <t>3/4 90D L/T FLX CONN</t>
  </si>
  <si>
    <t>NM 1" PIPE HANGER RIGID</t>
  </si>
  <si>
    <t>3/4 NM PLSTC CABLE CONN</t>
  </si>
  <si>
    <t>1IN NM PLSTC CABLE CONN</t>
  </si>
  <si>
    <t>1-IN STR L/T PVC CONN</t>
  </si>
  <si>
    <t>1-1/4 STR L/T PVC CONN</t>
  </si>
  <si>
    <t>3/4" NMLT SNP STR (10/BX-50CTN)</t>
  </si>
  <si>
    <t>3/4 STR L/T PVC CONN</t>
  </si>
  <si>
    <t>1" SNAP 90D NMLT CONN (5) [25]</t>
  </si>
  <si>
    <t>2-IN 90D L/T CONN</t>
  </si>
  <si>
    <t>1/2 90D L/T CONN</t>
  </si>
  <si>
    <t>3/4 90D NM L/T CONN</t>
  </si>
  <si>
    <t>1IN ST CONN</t>
  </si>
  <si>
    <t>3/4 BLK STCOMM CORD GRIP</t>
  </si>
  <si>
    <t>1/2 UF CABLE COMP CONN</t>
  </si>
  <si>
    <t>1-IN STL SEALING LOCKNUT</t>
  </si>
  <si>
    <t>1-1/2 STL SEALING LOCKNUT</t>
  </si>
  <si>
    <t>3/4 STL SEALING LOCKNUT</t>
  </si>
  <si>
    <t>3/4 D/C INS KO HUB</t>
  </si>
  <si>
    <t>1-IN D/C INS KO HUB</t>
  </si>
  <si>
    <t>1-1/4 D/C INS KO HUB</t>
  </si>
  <si>
    <t>#3 PIPE MASTER SQ BASE (15)</t>
  </si>
  <si>
    <t>1-IN PIPE CLAMP FOR STRUT</t>
  </si>
  <si>
    <t>1 1/4-IN PIPE CLAMP FOR STRUT</t>
  </si>
  <si>
    <t>1-5/8 X 1-5/8 X 120  SLTD STRUT</t>
  </si>
  <si>
    <t>13/16 X 1-5/8 X 120 SLTD STRUT</t>
  </si>
  <si>
    <t>RUBBR SUPPORT BASE W/ CHANNEL</t>
  </si>
  <si>
    <t>1/4-IN SPRNG NUT 20 THREAD</t>
  </si>
  <si>
    <t>5 ANTISHORT BUSHING</t>
  </si>
  <si>
    <t>3/4 AL SLB ENTR ELL</t>
  </si>
  <si>
    <t>1-IN AL SLB ENTR ELL</t>
  </si>
  <si>
    <t>1"UL STEEL CONDT LOCKNUT 100/500</t>
  </si>
  <si>
    <t>1"-3/4" RED WASH</t>
  </si>
  <si>
    <t>3/4 SEALING LOCKNUT</t>
  </si>
  <si>
    <t>1-IN SEALING LOCKNUT 25/100 PK</t>
  </si>
  <si>
    <t>1" OFFSET NIPPLE</t>
  </si>
  <si>
    <t>3/4 D/C KO HUB</t>
  </si>
  <si>
    <t>3/4" GROUNDING LOCKNUT</t>
  </si>
  <si>
    <t>1" GROUNDING LOCKNUT</t>
  </si>
  <si>
    <t>3/4 INSULINER SLEEVE</t>
  </si>
  <si>
    <t>3/4 COND HGR W/BOLT</t>
  </si>
  <si>
    <t>1-IN COND HGR W/BOLT</t>
  </si>
  <si>
    <t>3/4 RAIN TIGHT COMP CONN ZINC</t>
  </si>
  <si>
    <t>1" RAIN TIGT COMPRES CONN 15/150P</t>
  </si>
  <si>
    <t>1"RAIN TIGT COMPRES COUP 15/150</t>
  </si>
  <si>
    <t>1-1/4 EMT/FLEX CPLG</t>
  </si>
  <si>
    <t>3/4 GRD. BUSH. INS.14-4 ZINC</t>
  </si>
  <si>
    <t>1"GRND.BUSH.INS.14-4 ZINC 25/250P</t>
  </si>
  <si>
    <t>1-IN SQZ FLEX CONN</t>
  </si>
  <si>
    <t>3/4 STR L/T CONN</t>
  </si>
  <si>
    <t>1-IN 90D L/T CONN</t>
  </si>
  <si>
    <t>3/4" SCREW-IN CONN.ZINC DIE FLEX</t>
  </si>
  <si>
    <t>1-IN FLEX CONN</t>
  </si>
  <si>
    <t>3/4" SCREW-IN CPLG.</t>
  </si>
  <si>
    <t>1-IN SCR-IN FLXCPLG</t>
  </si>
  <si>
    <t>3/8 S/SCR FLEXCONN</t>
  </si>
  <si>
    <t>3/4 EMT TO FLX CPLG 25/250PK</t>
  </si>
  <si>
    <t>1" SCREW IN FLEX CONN 10/100PK</t>
  </si>
  <si>
    <t>1/2 DC UF CONN</t>
  </si>
  <si>
    <t>3/4 RIG/RIG PULL EL</t>
  </si>
  <si>
    <t>3/4" EMT PIPE STRAP STEEL</t>
  </si>
  <si>
    <t>1" EMT PIPE STRAP STEEL</t>
  </si>
  <si>
    <t>3/4" LB CVR/GASK COND BDY</t>
  </si>
  <si>
    <t>3/4" LL CVR/GASK COND BDY</t>
  </si>
  <si>
    <t>3/4" LR CVR/GASK COND BDY</t>
  </si>
  <si>
    <t>3/4" SEALING RING  W/RETAINER</t>
  </si>
  <si>
    <t>1" SEALING RING  W/RETAINER</t>
  </si>
  <si>
    <t>1-1/4" SEALING RING  W/RETAINE</t>
  </si>
  <si>
    <t>2" SEALING RING  W/RETAINER</t>
  </si>
  <si>
    <t>3/4" T CVR/GASK COND BDY</t>
  </si>
  <si>
    <t>SGL 3PORT 14-4 BLKTAP</t>
  </si>
  <si>
    <t>4AWG INSLUTION PIERCING CONN</t>
  </si>
  <si>
    <t>4/0-6AWG INSULATION PIERCING CONN</t>
  </si>
  <si>
    <t>2/0 BATTERY LUG5/16 HOLE</t>
  </si>
  <si>
    <t>4AWGTER (4AWG BATTERYLUG5/16 HOL)</t>
  </si>
  <si>
    <t>4RUN/TAP PINK C-TAP</t>
  </si>
  <si>
    <t>THIN C-TAP 4-5RUN 6-5T GREEN</t>
  </si>
  <si>
    <t>BROWN CTAP CONNECTOR</t>
  </si>
  <si>
    <t>#8RUN TAP CONNECTOR GRAY</t>
  </si>
  <si>
    <t>IN-LINE FUSE HOLDER</t>
  </si>
  <si>
    <t>HIDM5 400W BLK 35MM (30) [660]</t>
  </si>
  <si>
    <t>390W 132HC MONO BOB</t>
  </si>
  <si>
    <t>395W 132HC MONO BOB</t>
  </si>
  <si>
    <t>450W BIFACIAL 30MM</t>
  </si>
  <si>
    <t>395W 108/2 DUAL CELL BOB</t>
  </si>
  <si>
    <t>525W BIFACIAL BIHIKU6</t>
  </si>
  <si>
    <t>ALBION B26 10 OZ CAULK GUN</t>
  </si>
  <si>
    <t>CLEAR SEALANT</t>
  </si>
  <si>
    <t>M1 SEALANT BLACK</t>
  </si>
  <si>
    <t>DARK BRONZE - M1 SEALANT</t>
  </si>
  <si>
    <t>GRAY - M1 SEALANT</t>
  </si>
  <si>
    <t>WHITE - M1 SEALANT</t>
  </si>
  <si>
    <t>4" E-CURB</t>
  </si>
  <si>
    <t>5" E-CURB</t>
  </si>
  <si>
    <t>1/2" EMT THINWALL</t>
  </si>
  <si>
    <t>3/4" EMT THINWALL</t>
  </si>
  <si>
    <t>1" EMT THINWALL</t>
  </si>
  <si>
    <t>1-1/2" EMT THINWALL</t>
  </si>
  <si>
    <t>1-1/4" EMT THINWALL</t>
  </si>
  <si>
    <t>GROUND MOUNT PIPE CAP</t>
  </si>
  <si>
    <t>PIPE, 2.375" X 12GA X 288" [19]</t>
  </si>
  <si>
    <t>PIPE, 3.5" X 8GA X 288" [19]</t>
  </si>
  <si>
    <t>SPLICE, 3.0" X 12GA X 288" [19]</t>
  </si>
  <si>
    <t>LARGE COUGAR PAW COVER</t>
  </si>
  <si>
    <t>EXTRA LARGE COUGAR PAW COVER</t>
  </si>
  <si>
    <t>SIZE 10 ESTIMATOR BOOT</t>
  </si>
  <si>
    <t>SIZE 10.5 ESTIMATOR BOOT</t>
  </si>
  <si>
    <t>SIZE 11 ESTIMATOR BOOT</t>
  </si>
  <si>
    <t>SIZE 9 ESTIMATOR BOOT</t>
  </si>
  <si>
    <t>SIZE 10 PERFORMER BOOT</t>
  </si>
  <si>
    <t>SIZE 10.5 PERFORMER BOOT</t>
  </si>
  <si>
    <t>SIZE 11.5 PERFORMER BOOT</t>
  </si>
  <si>
    <t>SIZE 12 PERFORMER BOOT</t>
  </si>
  <si>
    <t>SIZE 9.5 PERFORMER BOOT</t>
  </si>
  <si>
    <t>PEAK SERIES PAD SIZE 9.5 - 10</t>
  </si>
  <si>
    <t>PEAK SERIES PAD SIZE 10.5-11</t>
  </si>
  <si>
    <t>PEAK SERIES PAD SIZE 11.5 -12</t>
  </si>
  <si>
    <t>PEAK SERIES PAD 8.5-9</t>
  </si>
  <si>
    <t>SIZE 10.5 STEELWALKER BOOT</t>
  </si>
  <si>
    <t>SIZE 11 STEELWALKER BOOT</t>
  </si>
  <si>
    <t>SIZE 11.5 STEELWALKER BOOT</t>
  </si>
  <si>
    <t>SIZE 12 STEELWALKER BOOT</t>
  </si>
  <si>
    <t>SIZE 9 STEELWALKER BOOT</t>
  </si>
  <si>
    <t>SIZE 9.5 STEELWAKER BOOT</t>
  </si>
  <si>
    <t>365W BLK 120C 35MM (30) [780]</t>
  </si>
  <si>
    <t>370W 120HC CT SERIES</t>
  </si>
  <si>
    <t>10-32X3/8 PHIL/SLOT GRN GRD SCR</t>
  </si>
  <si>
    <t>LUMBER CRAYON - YELLOW - 12CT</t>
  </si>
  <si>
    <t>LUMBER CRAYON - RED - 12CT</t>
  </si>
  <si>
    <t>10-32X3/8 GRD SCR</t>
  </si>
  <si>
    <t>10 X 1" HEX HEAD (100)</t>
  </si>
  <si>
    <t>2P-120/240V-200A CB</t>
  </si>
  <si>
    <t>4P 20/40A CB</t>
  </si>
  <si>
    <t>4P 20/50A CB</t>
  </si>
  <si>
    <t>CB 1P 15A 120/240V (10/BX)</t>
  </si>
  <si>
    <t>CB 1P 20A 120/240 (10/BX)</t>
  </si>
  <si>
    <t>2P 15A CB</t>
  </si>
  <si>
    <t>2P 20A CB</t>
  </si>
  <si>
    <t>225A POWER LD-CTR</t>
  </si>
  <si>
    <t>2P 10A CB</t>
  </si>
  <si>
    <t>2P-120/240V-100A CB</t>
  </si>
  <si>
    <t>CB 2P 15A 120/240V (5/BX)</t>
  </si>
  <si>
    <t>CB 2P 20A 120/240 (5/BX)</t>
  </si>
  <si>
    <t>2P 20A CB TIE DOWN</t>
  </si>
  <si>
    <t>2P-120/240V-25A CB</t>
  </si>
  <si>
    <t>CB 2P 30A 120/240V (5/BX)</t>
  </si>
  <si>
    <t>2P 30A CB TIE DOWN</t>
  </si>
  <si>
    <t>2P-120/240V-35A CB</t>
  </si>
  <si>
    <t>CB 2P 40A 120/240V (5/BX)</t>
  </si>
  <si>
    <t>2P 40A CB</t>
  </si>
  <si>
    <t>CB 2P 50A 120/240V (5/BX)</t>
  </si>
  <si>
    <t>2P 50A CB</t>
  </si>
  <si>
    <t>CB 2P 60A 120/240V (5/BX)</t>
  </si>
  <si>
    <t>2P-120/240V-70A CB</t>
  </si>
  <si>
    <t>2P-120/240V-80A CB</t>
  </si>
  <si>
    <t>2P-120/240V-90A CB</t>
  </si>
  <si>
    <t>1PH 125A MLO 3R LOADCENTER</t>
  </si>
  <si>
    <t>1PH 125A LD-CTR</t>
  </si>
  <si>
    <t>HLD DOWN SCR KT (COMBINER 4)</t>
  </si>
  <si>
    <t>FILLER PLATE</t>
  </si>
  <si>
    <t>HOLD-DOWN KIT (SMRT SWTCH GEN2)</t>
  </si>
  <si>
    <t>200A LOADCENTER</t>
  </si>
  <si>
    <t>12SP 24 CIR 125A LD-CNTR</t>
  </si>
  <si>
    <t>200A MLO 12/24 1P 120/240V MLUG</t>
  </si>
  <si>
    <t>125A LOADCENTER</t>
  </si>
  <si>
    <t>LOADCENTER MAIN LUG</t>
  </si>
  <si>
    <t>2P CB KT</t>
  </si>
  <si>
    <t>2P CNCTR</t>
  </si>
  <si>
    <t>2P 60A CNCTR</t>
  </si>
  <si>
    <t>1P 15A CB</t>
  </si>
  <si>
    <t>CB 1P 215A</t>
  </si>
  <si>
    <t>2P 30A CB</t>
  </si>
  <si>
    <t>2P 20A PLUG-ON CB</t>
  </si>
  <si>
    <t>2P 25A PLUG-ON CB</t>
  </si>
  <si>
    <t>2P 30A PLUG-ON CB</t>
  </si>
  <si>
    <t>2P 50A PLUG-ON CB</t>
  </si>
  <si>
    <t>1P 15A PLUG-ON CB</t>
  </si>
  <si>
    <t>2P 30A CB CL SERIES</t>
  </si>
  <si>
    <t>2P 35A CB CL SERIES</t>
  </si>
  <si>
    <t>2P 40A CB CL SERIES</t>
  </si>
  <si>
    <t>2P 50A CB CL SERIES</t>
  </si>
  <si>
    <t>2P 100A MAIN CB KT</t>
  </si>
  <si>
    <t>2P 150A MAIN CB KT</t>
  </si>
  <si>
    <t>2P 175A MAIN CB KT</t>
  </si>
  <si>
    <t>2P 200A MAIN CB KT</t>
  </si>
  <si>
    <t>60/100A SAFETY SWITCH</t>
  </si>
  <si>
    <t>DISC 30A 2P 240V 3R FUSE</t>
  </si>
  <si>
    <t>NON-FUSE DISC 30A 2P 240V 3R</t>
  </si>
  <si>
    <t>DISC 60A 2P 240V 3R FUSE</t>
  </si>
  <si>
    <t>NON-FUSE DISC 60A 2P 204V 3R</t>
  </si>
  <si>
    <t>DISC 100A 2P 240V 3R FUSE</t>
  </si>
  <si>
    <t>NON-FUSE DISC 100A 2P 240V 3R</t>
  </si>
  <si>
    <t>DISC 200A 2P 240V 3R FUSED</t>
  </si>
  <si>
    <t>200A 240V SFTY SW</t>
  </si>
  <si>
    <t>SFTY SW HUB</t>
  </si>
  <si>
    <t>SFTY SW FUSE CLIP</t>
  </si>
  <si>
    <t>LD-CTR GND BAR KT</t>
  </si>
  <si>
    <t>200A MTR-BRKR</t>
  </si>
  <si>
    <t>METER BREAKER</t>
  </si>
  <si>
    <t>ECOBEE3 LITE</t>
  </si>
  <si>
    <t>L-FOOT L-102 BLK 3"</t>
  </si>
  <si>
    <t>44-R BASE SS 6X6"</t>
  </si>
  <si>
    <t>44-R FLASHING AL BLK 12X14"</t>
  </si>
  <si>
    <t>DECK SCREW SS #15X2"</t>
  </si>
  <si>
    <t>250V RK5 TD FUSE</t>
  </si>
  <si>
    <t>ENPHASE IQ BATTERY 3 BASE KIT</t>
  </si>
  <si>
    <t>ENPHASE IQ BATTERY 3T BASE KIT</t>
  </si>
  <si>
    <t>ENPHASE IQ BATTERY 3T COVER KIT</t>
  </si>
  <si>
    <t>ENCHARGE-10 COVER ONLY</t>
  </si>
  <si>
    <t>ENPHASE IQ BATTERY 10T COVER KIT</t>
  </si>
  <si>
    <t>ENPOWER 25KAIC 2P BREAKER 200A</t>
  </si>
  <si>
    <t>LTE CAT M1 MODEM W/ 5-YR DATA</t>
  </si>
  <si>
    <t>LTE CAT M1 W/ 5-YR AT&amp;T PLAN</t>
  </si>
  <si>
    <t>LTE CAT M1 W/5-YR TMOBILE PLAN</t>
  </si>
  <si>
    <t>USB ADAPT KIT</t>
  </si>
  <si>
    <t>CT-200-SOLID CURRENT TRANSFORMERS</t>
  </si>
  <si>
    <t>CONSUMPTION MONITOR CURRENT TRANS</t>
  </si>
  <si>
    <t>ENCHARGE 10 BASE KIT</t>
  </si>
  <si>
    <t>ENCHARGE-10T BASE KIT + COVER KIT</t>
  </si>
  <si>
    <t>ENCHARGE 3 BASE KIT</t>
  </si>
  <si>
    <t>ENCHARGE-3T BASE KIT + COVER KIT</t>
  </si>
  <si>
    <t>IQ ENOVY 1PH METERED RGM</t>
  </si>
  <si>
    <t>IQ COMMERCIAL ENVOY W/ 3 CTS</t>
  </si>
  <si>
    <t>LOAD CONTROL KIT</t>
  </si>
  <si>
    <t>SWITCH, 2 POLE, 1 STRING, 600V, 1</t>
  </si>
  <si>
    <t>BREAKER HOLD DOWN KIT</t>
  </si>
  <si>
    <t>SYSTEM CONTROLLER 2 W/ RSD INCLD</t>
  </si>
  <si>
    <t>ENPOWER SMART SWITCH</t>
  </si>
  <si>
    <t>IQ SYSTEM CONTROLLER 2 (IQ8)</t>
  </si>
  <si>
    <t>IQ 7 MICROINVERTER 60CELL, MC4</t>
  </si>
  <si>
    <t>366VA PEAK POWER, MC4</t>
  </si>
  <si>
    <t>IQ7A W/ INTEGRATED MC4</t>
  </si>
  <si>
    <t>IQ7+, 72-CELL COMPATIBLE, MC4</t>
  </si>
  <si>
    <t>IQ7PLUS W/ INTEGRATED MC4</t>
  </si>
  <si>
    <t>IQ8 60-CELL MICRO</t>
  </si>
  <si>
    <t>IQ8A 72-CELL MICRO</t>
  </si>
  <si>
    <t>Enphase IQ8 Microinverter w/ MC4</t>
  </si>
  <si>
    <t>IQ8M 72-CELL MICRO</t>
  </si>
  <si>
    <t>IQ8M SWIFT2+POR VARIANT</t>
  </si>
  <si>
    <t>IQ8+</t>
  </si>
  <si>
    <t>IQ8+ SWIFT2+POR VARIANT</t>
  </si>
  <si>
    <t>Q CABLE 60/72CELL PORTRAIT 240VAC</t>
  </si>
  <si>
    <t>Q CABLE 60CELL LANDSCAPE 240V</t>
  </si>
  <si>
    <t>Q CABLE, 12 AWG, NO CONN (984)</t>
  </si>
  <si>
    <t>MALE SEALING CAP FOR AGGREGATOR</t>
  </si>
  <si>
    <t>Q CABLE CABLE CLIP (100) [1000]</t>
  </si>
  <si>
    <t>FEMALE WIREABLE CONN</t>
  </si>
  <si>
    <t>MALE WIREABLE CONN</t>
  </si>
  <si>
    <t>1 PHASE LINE COMM FILTER, 64 A</t>
  </si>
  <si>
    <t>FEMALE SEALING CAP FOR Q CABLE</t>
  </si>
  <si>
    <t>TERM CAP FOR Q CABLE</t>
  </si>
  <si>
    <t>AC COMB W/ ENVOY &amp; CT</t>
  </si>
  <si>
    <t>AC COMBNR W/ BUILT IN CELL MODEM</t>
  </si>
  <si>
    <t>AC COMB W ENOVY, CELLMODEM, CT</t>
  </si>
  <si>
    <t>IQ8 SERIES AC COMBINER</t>
  </si>
  <si>
    <t>IQ8 SERIES AC COMBINER /W CELL</t>
  </si>
  <si>
    <t>AC COMBINER IEEE 1547:2018</t>
  </si>
  <si>
    <t>AC COMBINER W/ CELL IEEE 1547:201</t>
  </si>
  <si>
    <t>ACCESSORY FOR EPLC-01</t>
  </si>
  <si>
    <t>GROUND LUG, 13MM HEX (50)</t>
  </si>
  <si>
    <t>RAIL, CR 44-X 166" MILL [100]</t>
  </si>
  <si>
    <t>CROSSRAIL 44-X 166", DARK</t>
  </si>
  <si>
    <t>TBOLT KIT, 13MM X 25MM (100)</t>
  </si>
  <si>
    <t>YETI CLAMP, MILL, 13MM HEX (50)</t>
  </si>
  <si>
    <t>SPLICE, CR 44-X, MILL (10)</t>
  </si>
  <si>
    <t>RAIL CONNECTOR CR 44-X, SET, DARK</t>
  </si>
  <si>
    <t>MINIRAIL KIT (1RAIL 2EDPM 4SCREW)</t>
  </si>
  <si>
    <t>CROSSRAIL T-FOOT X 6", MILL SET</t>
  </si>
  <si>
    <t>CR EC DARK, 30-40MM (20)</t>
  </si>
  <si>
    <t>SPLICE FOOT XL SCREW M5X60</t>
  </si>
  <si>
    <t>BONDING TBOLT, 13MM X 25MM (100)</t>
  </si>
  <si>
    <t>K2 FLASH COMP KIT, MILL</t>
  </si>
  <si>
    <t>K2 FLASH COMP KIT, DARK</t>
  </si>
  <si>
    <t>SPLICE FOOT XL (20)</t>
  </si>
  <si>
    <t>END CAP 44-X , K2</t>
  </si>
  <si>
    <t>EVERFLASH ECOMP KIT, MILL (20)</t>
  </si>
  <si>
    <t>END CLAMP, 30-50MM, BLK (20)</t>
  </si>
  <si>
    <t>MID, BLK, 30-47MM, 13MM HEX (20)</t>
  </si>
  <si>
    <t>MICRO/OPT KIT, 13MM HEX (100)</t>
  </si>
  <si>
    <t>RAIL, CR 48-X 166" MILL [100]</t>
  </si>
  <si>
    <t>WIRE MANAGEMENT CLIP, OMEGA, BLK</t>
  </si>
  <si>
    <t>JUNCTION BOX 2 (320 PER PALLET)</t>
  </si>
  <si>
    <t>XL PV JUNCTION BOX (280 PER PALLE</t>
  </si>
  <si>
    <t>PV JUNCTION BOX FOR TILE ROOF(160</t>
  </si>
  <si>
    <t>8OZ YELLOW PROCHALK</t>
  </si>
  <si>
    <t>12OZ FOAM &amp; FILL</t>
  </si>
  <si>
    <t>3/8 STAI STEEL BONDED SEALIN WASH</t>
  </si>
  <si>
    <t>5/16" X 4" PERMA-SEAL CARB STEEL</t>
  </si>
  <si>
    <t>9X1.5 MTL-WD SMS BS1000 HOUR COAT</t>
  </si>
  <si>
    <t>5/16 X 3.5" S/S HX LAG, QBASE USE</t>
  </si>
  <si>
    <t>3/4" - NON METAL LT (100)</t>
  </si>
  <si>
    <t>3/4 LIQUIDTIGHT UL LISTED</t>
  </si>
  <si>
    <t>1-1/4" NON METALIC LT (50)</t>
  </si>
  <si>
    <t>1-1/4" - LIQUID TITE</t>
  </si>
  <si>
    <t>1" - NON METAL LT (100)</t>
  </si>
  <si>
    <t>1" - LIQUID TITE (100) [2000]</t>
  </si>
  <si>
    <t>3/4" - FLEX ALUM (100) [2500]</t>
  </si>
  <si>
    <t>1" - FLEX ALUM (50) [1400]</t>
  </si>
  <si>
    <t>1-1/4-FLEX-ALUM-REDUC-WALL</t>
  </si>
  <si>
    <t>2-IN-FLEX-ALUM-REDUC-WALL 25FT</t>
  </si>
  <si>
    <t>GENERATOR MODULE 200A, 120/240V</t>
  </si>
  <si>
    <t>SMART CIRCUITS MODULE, 3X</t>
  </si>
  <si>
    <t>AGATE X ENERGY MANAGEMENT DEVICE</t>
  </si>
  <si>
    <t>APOWER X 13.6KWH, 5KW, 120/240VAC</t>
  </si>
  <si>
    <t>5/8 X 10 CU GRD ROD</t>
  </si>
  <si>
    <t>5/8" GALV GROUND ROD</t>
  </si>
  <si>
    <t>2P 100A 120/240V CB</t>
  </si>
  <si>
    <t>2P15A 120/240 PLG-IN CB</t>
  </si>
  <si>
    <t>2P20A 120/240 PLG-IN CB</t>
  </si>
  <si>
    <t>2P30A 120/240 PLG-IN CB</t>
  </si>
  <si>
    <t>2P40A 120/240 PLG-IN CB</t>
  </si>
  <si>
    <t>2P50A 120/240 PLG-IN CB</t>
  </si>
  <si>
    <t>2P 30A 120/240 PLG-IN CB</t>
  </si>
  <si>
    <t>2P 40A 120/240 PLG-IN CB</t>
  </si>
  <si>
    <t>WETCELL BATT (REPLACES 5819)</t>
  </si>
  <si>
    <t>GENERATOR PAD</t>
  </si>
  <si>
    <t>100A SMART MGMT MODULE</t>
  </si>
  <si>
    <t>22KW-AIR W/ 200 AMP XFER SWITCH</t>
  </si>
  <si>
    <t>PWRMANAGER ENERGY MGMT MODULE</t>
  </si>
  <si>
    <t>PWRCELL BATTERY CABINET [9]</t>
  </si>
  <si>
    <t>PWRCELL SPACER KIT (1)</t>
  </si>
  <si>
    <t>PV LINK - 2500W MPPT OPT (4)</t>
  </si>
  <si>
    <t>NEMA 3R BATTERY CABINET</t>
  </si>
  <si>
    <t>PWRCELL CT ACCESSORY KIT</t>
  </si>
  <si>
    <t>CP-250E-60/72-208/240-MC4-MTC</t>
  </si>
  <si>
    <t>DUAL INPUT MICRO, 240V/208V</t>
  </si>
  <si>
    <t>AC - TRUNK CABLE DISCONNECT TOOL</t>
  </si>
  <si>
    <t>COMMUNICATION GATEWAY</t>
  </si>
  <si>
    <t>1.025M MODULAR TRUNK CABLE</t>
  </si>
  <si>
    <t>MODULAR TRUNK CABLE (1.700M) 1</t>
  </si>
  <si>
    <t>MODULAR TRUNK CABLE (2.150M) 1</t>
  </si>
  <si>
    <t>1.7M CABLE, BARE/2 FEMALE ON ENDS</t>
  </si>
  <si>
    <t>SEALING CAP</t>
  </si>
  <si>
    <t>200A PWRCELL ATS 120/240 1PH</t>
  </si>
  <si>
    <t>3.0KWH "EX" PWR CELL BATT MOD</t>
  </si>
  <si>
    <t>3.0KWH "DCB" PWR CELL BATT MOD</t>
  </si>
  <si>
    <t>15A SNAPRS-INLINE DISCONNECT</t>
  </si>
  <si>
    <t>150A GENERATOR ATS</t>
  </si>
  <si>
    <t>7.6KW 1PH PWRCELL INVERTER</t>
  </si>
  <si>
    <t>SI200 SKELE INDUSTRIAL CAULK GUN</t>
  </si>
  <si>
    <t>GRAY SEALANT(24)1440</t>
  </si>
  <si>
    <t>DEEP BRONZE SEALANT (24)1440</t>
  </si>
  <si>
    <t>4500 BLACK SEALANT (24)1440</t>
  </si>
  <si>
    <t>4 HOLE ALUM NEUTRAL BAR</t>
  </si>
  <si>
    <t>7 HOLE ALUM NEUTRAL BAR</t>
  </si>
  <si>
    <t>1/2 TO 1-IN BRZ GRD CLAMP</t>
  </si>
  <si>
    <t>1/2 NPT 3 HOLE PV WIRE</t>
  </si>
  <si>
    <t>1/2" NPT, 1 HOLE FOR PV WIRE</t>
  </si>
  <si>
    <t>1/2" NPT FOR 1 Q-CBL STRANDS</t>
  </si>
  <si>
    <t>3/4" 4 HOLE CABLE CONNECTOR</t>
  </si>
  <si>
    <t>MASTHEAD-2 3/4" 5-HOLE USE#10</t>
  </si>
  <si>
    <t>MASTHEAD-2 3/4" 3HOLE PV WIRE</t>
  </si>
  <si>
    <t>3/4" NPT FOR 2 Q-CBL STRANDS</t>
  </si>
  <si>
    <t>MASTHEAD-2 1" 9-HOLE CONN</t>
  </si>
  <si>
    <t>1"  5 HOLE PV WIRE CONNECTOR</t>
  </si>
  <si>
    <t>SUNRUNNER CLIP (100/BG-500CTN)</t>
  </si>
  <si>
    <t>WIRE MESH CLIP;BLACK</t>
  </si>
  <si>
    <t>365W BOB 35MM</t>
  </si>
  <si>
    <t>365W BLK 120C 32MM</t>
  </si>
  <si>
    <t>400W ALL BLACK BIFACIAL 32MM (32)</t>
  </si>
  <si>
    <t>SPLIC CAP INSULTOR FOR 2006S100/B</t>
  </si>
  <si>
    <t>WIRE CONNECTOR SPLIC CAP INS 50/B</t>
  </si>
  <si>
    <t>10AWG PUSH IN WIRE CONNECTOR</t>
  </si>
  <si>
    <t>GY/BLU WIRE CONN (50)</t>
  </si>
  <si>
    <t>STEL CRIM CONTER, 410 18-10 100/B</t>
  </si>
  <si>
    <t>SIZ411 CRIMP WIRECONN18-8AWG 50/B</t>
  </si>
  <si>
    <t>BLU WR NUT-25BAG/100</t>
  </si>
  <si>
    <t>ELEC VINYL TAPE</t>
  </si>
  <si>
    <t>14 -8 UNDERGROUND SPLICE KIT(10)</t>
  </si>
  <si>
    <t>12-10AWG FRK VNL TERM 25/BOX</t>
  </si>
  <si>
    <t>2/0-6AWG INSULTD PIERC CONN (8)</t>
  </si>
  <si>
    <t>6-14AWG INSULTD PIERC CONN (12)</t>
  </si>
  <si>
    <t>350-500MCM INSUL TAP CONN 1 BOLT</t>
  </si>
  <si>
    <t>2 PORT INSULATED TAP</t>
  </si>
  <si>
    <t>GROUND LUG</t>
  </si>
  <si>
    <t>#4 SLD / #4 STR C CRIMP</t>
  </si>
  <si>
    <t>END PLATE</t>
  </si>
  <si>
    <t>TERM BLOCK 10MM 600V 85A</t>
  </si>
  <si>
    <t>WIRE CLIPS, 20PC BAG (25)</t>
  </si>
  <si>
    <t>2" SGA TOP CAP (12)</t>
  </si>
  <si>
    <t>2" BRACE 9', *HDW SEPERATE* (4)</t>
  </si>
  <si>
    <t>3" BRACE 7.5' *HDW SEPERATE* (4)</t>
  </si>
  <si>
    <t>3" SGA TOP CAP (12)</t>
  </si>
  <si>
    <t>3" BRACE 9' *HDW SEPERATE* (4)</t>
  </si>
  <si>
    <t>ALL TILE HOOK (INCL. 2 LAGS)</t>
  </si>
  <si>
    <t>MICRO-INVERTER BOLT (300)</t>
  </si>
  <si>
    <t>SQUARE-BOLT (200)</t>
  </si>
  <si>
    <t>T-BOLT (200)</t>
  </si>
  <si>
    <t>HIDDEN UNVRSL END CLAMP (100)</t>
  </si>
  <si>
    <t>CONTOUR END CAPS (L-R PAIR)</t>
  </si>
  <si>
    <t>CONTOUR CLAMP (INCL. TORX BIT)</t>
  </si>
  <si>
    <t>CONTOUR CORNER CAP, OUTER</t>
  </si>
  <si>
    <t>CONTOUR SPLICE</t>
  </si>
  <si>
    <t>CONTOUR TRIM, 84"LG</t>
  </si>
  <si>
    <t>GEN 2 FLASHFOOTD, BLK (20)</t>
  </si>
  <si>
    <t>GEN 2 FLASHFOOT2, MILL (20)</t>
  </si>
  <si>
    <t>FLASHFOOT2, BLACK</t>
  </si>
  <si>
    <t>FLASHFOOT2, MILL</t>
  </si>
  <si>
    <t>KIT, CONDUIT MNT, BLK (4)</t>
  </si>
  <si>
    <t>FLAT ROOF ATTACH BASE, MILL (20)</t>
  </si>
  <si>
    <t>FLAT RF MEM 60MIL TPO GF WHT (40)</t>
  </si>
  <si>
    <t>FLASHVUE, BLK (20)</t>
  </si>
  <si>
    <t>FLASHVUE, MILL (20)</t>
  </si>
  <si>
    <t>GRIPCAP PLUS FOR FLASHVUE, BLACK</t>
  </si>
  <si>
    <t>2" GRND MNT RAIL CONN (36)</t>
  </si>
  <si>
    <t>3" GRND MNT RAIL CONN (36)</t>
  </si>
  <si>
    <t>GM DIAGONAL BRACE HARDWARE</t>
  </si>
  <si>
    <t>GM 3" SLEEVE, DIAGONAL BRACE</t>
  </si>
  <si>
    <t>GM DGNL BRACE, 2.5" SQR TUBE 87"</t>
  </si>
  <si>
    <t>HEX HEAD SCREW FOR GROUND SCREWS</t>
  </si>
  <si>
    <t>RD STRUCTURAL SCREW, 3.0L</t>
  </si>
  <si>
    <t>TILE REPLACE BASE (10) [1610]</t>
  </si>
  <si>
    <t>KO TILE RPL BS (1LFT(BLK),1 LG&amp;HD</t>
  </si>
  <si>
    <t>FLAT TILE REPLACE (20) [900]</t>
  </si>
  <si>
    <t>S-TILE REPLACE (20) [720]</t>
  </si>
  <si>
    <t>W-TILE REPLACE (20) [1200]</t>
  </si>
  <si>
    <t>BLK SLOTTED L-FOOT (100)</t>
  </si>
  <si>
    <t>SLOTTED L FOOT, MILL (100)</t>
  </si>
  <si>
    <t>HALO ULTRA GRIP, BLACK</t>
  </si>
  <si>
    <t>HALO ULTRA GRIP, MILL</t>
  </si>
  <si>
    <t>RAIL-MOUNT JAYBOX WITH 2 RAIL CLI</t>
  </si>
  <si>
    <t>JAYBOX, RAIL-MOUNTED</t>
  </si>
  <si>
    <t>L-MOUNT, BLK (20) []</t>
  </si>
  <si>
    <t>L-MOUNT, MILL (20)</t>
  </si>
  <si>
    <t>L-MOUNT, STRUCTURAL SCREW, 9"X12"</t>
  </si>
  <si>
    <t>LYNX STANDING SEAM METAL CLAMP</t>
  </si>
  <si>
    <t>QBASE BASE, MILL</t>
  </si>
  <si>
    <t>QBASE 3.25" POST, MILL</t>
  </si>
  <si>
    <t>QBASE 4.5" POST, MILL</t>
  </si>
  <si>
    <t>QBASE 6.5" POST, MILL</t>
  </si>
  <si>
    <t>QBASE 8.5" POST, MILL (20)</t>
  </si>
  <si>
    <t>L-FOOT, FIXED TILT, 5 DEGREE, MIL</t>
  </si>
  <si>
    <t>L-FOOT, MILL (12)</t>
  </si>
  <si>
    <t>L-FOOT BLK (12)</t>
  </si>
  <si>
    <t>1" EPDM COUNTR FLASH (12)</t>
  </si>
  <si>
    <t>COND MOUNT, MILL (12)</t>
  </si>
  <si>
    <t>P/;:330, COND MNT TILE, MIL (12)</t>
  </si>
  <si>
    <t>COMP COND PENETRATE, MILL (12)</t>
  </si>
  <si>
    <t>TILE COND PENTRATE, MILL (12)</t>
  </si>
  <si>
    <t>BLK END CAP LIGHT (10) [50]</t>
  </si>
  <si>
    <t>GROUNDING LUG, QRAIL, AL [50]</t>
  </si>
  <si>
    <t>QSPLICE LIGHT MILL [15]</t>
  </si>
  <si>
    <t>QSKIRT 14' [24]</t>
  </si>
  <si>
    <t>QSKIRT END CAP (PAIR) [12]</t>
  </si>
  <si>
    <t>QSKIRT SPLICE [12]</t>
  </si>
  <si>
    <t>QRAIL LIGHT 14' MILL [60]</t>
  </si>
  <si>
    <t>BLK QRAIL LIGHT 14' [60]</t>
  </si>
  <si>
    <t>QRAIL T-BOLT W/ NUT (12) [300]</t>
  </si>
  <si>
    <t>BLK *END* CLAMP 30-45MM [20]</t>
  </si>
  <si>
    <t>BLK *MID* CLAMP 30-45MM  [20]</t>
  </si>
  <si>
    <t>QRAIL WIRE CLIP (12) [300]</t>
  </si>
  <si>
    <t>BASE MOUNT, MILL (12) [720]</t>
  </si>
  <si>
    <t>FLAT TILE, MILL (12) [360]</t>
  </si>
  <si>
    <t>S-TILE, MILL (12) [360]</t>
  </si>
  <si>
    <t>W-TILE, MILL (12) [360]</t>
  </si>
  <si>
    <t>TILE REPLMNT, W-TILE, 4" POST,BLA</t>
  </si>
  <si>
    <t>UNIVSL TILE MNT, MILL (12) [360]</t>
  </si>
  <si>
    <t>KIT, FIXED TILT LEG, 10" (20)</t>
  </si>
  <si>
    <t>KIT, FIXED TILT LEG, 15" (20)</t>
  </si>
  <si>
    <t>KIT, FIXED TILT LEG, 20" (20)</t>
  </si>
  <si>
    <t>UNIVERSAL MID CLAMP, MILL (200)</t>
  </si>
  <si>
    <t>BLK UNIVERSAL MID CLAMP (200)</t>
  </si>
  <si>
    <t>BLACK 30MM (100)</t>
  </si>
  <si>
    <t>STOPPER SLEEVE, 30MM, MILL</t>
  </si>
  <si>
    <t>BLACK 32MM (100)</t>
  </si>
  <si>
    <t>32MM (100)</t>
  </si>
  <si>
    <t>BLACK 33MM (100)</t>
  </si>
  <si>
    <t>BLACK 35MM (100)</t>
  </si>
  <si>
    <t>35MM (100)</t>
  </si>
  <si>
    <t>BLACK 38MM (100)</t>
  </si>
  <si>
    <t>BLACK 40MM (100)</t>
  </si>
  <si>
    <t>40MM (100)</t>
  </si>
  <si>
    <t>XR-10 168" (14 FT) BLK [160]</t>
  </si>
  <si>
    <t>MILL FINISH 168" (14FT) XR-10</t>
  </si>
  <si>
    <t>XR-10 204" (17 FT) CLR [160]</t>
  </si>
  <si>
    <t>XR-10 204" (17 FT) BLK [160]</t>
  </si>
  <si>
    <t>END CAP, 10 PAIRS (25)</t>
  </si>
  <si>
    <t>XR-100 168" (14 FT) CLR [80]</t>
  </si>
  <si>
    <t>XR-100 168" 14 FT BLK 80</t>
  </si>
  <si>
    <t>XR-100 204" (17 FT) CLR [80]</t>
  </si>
  <si>
    <t>XR-100 204" (17 FT) BLK [80]</t>
  </si>
  <si>
    <t>XR-1000 168" (14 FT) CLR [80]</t>
  </si>
  <si>
    <t>XR-1000 204" (17 FT) CLR [80]</t>
  </si>
  <si>
    <t>LO-PRO GRND LUG (100)</t>
  </si>
  <si>
    <t>BONDED SPLICE, XR10 (20)</t>
  </si>
  <si>
    <t>BONDED SPLICE, XR100 (20)</t>
  </si>
  <si>
    <t>BONDED SPLICE, XR1000</t>
  </si>
  <si>
    <t>385W 54 CELL BLK/BLK</t>
  </si>
  <si>
    <t>380W BLK 132C 35MM (31) [744]</t>
  </si>
  <si>
    <t>390W EAGLE G2 BLACK</t>
  </si>
  <si>
    <t>405W SOW 144C 40MM (27) [594]</t>
  </si>
  <si>
    <t>410W SOW 144C 40MM (27) [594]</t>
  </si>
  <si>
    <t xml:space="preserve"> WIRE STRIPER/CUTTER</t>
  </si>
  <si>
    <t>12IN HSAW BLD/10PK</t>
  </si>
  <si>
    <t>BI-METAL RECIP BLADE</t>
  </si>
  <si>
    <t>RECIPROCATING SAW BLADE</t>
  </si>
  <si>
    <t>7/8 CRBD HOLE CUTTER</t>
  </si>
  <si>
    <t>SCREWDRIVER</t>
  </si>
  <si>
    <t>11-IN-1 SCRWDRVR/NUTDRVR</t>
  </si>
  <si>
    <t>2IN POWER NUT DRVR</t>
  </si>
  <si>
    <t>7-IN-1 NUT DRIVER</t>
  </si>
  <si>
    <t>IMPACT SOCKET SET</t>
  </si>
  <si>
    <t>4-1/2 FLDG UTL KNIFE</t>
  </si>
  <si>
    <t>6-7/8 RETCT UTL KNIFE</t>
  </si>
  <si>
    <t>CABLE SKINNING KNIFE</t>
  </si>
  <si>
    <t>UTILITY KNIFE BLADE</t>
  </si>
  <si>
    <t>FLASHLIGHT/LASER</t>
  </si>
  <si>
    <t>HEADLAMP/STRAP 260 LUMENS</t>
  </si>
  <si>
    <t>HEADLAMP/STRAP 400 LUMENS</t>
  </si>
  <si>
    <t>FIBERGLASS FISH TAPE</t>
  </si>
  <si>
    <t>RCHG WORKLIGHT</t>
  </si>
  <si>
    <t>HIGH-LEVERAGE CABLE CUTTER</t>
  </si>
  <si>
    <t>MINI RATCHET SET</t>
  </si>
  <si>
    <t>NO-2 SQ-TIP SCREWDRIVER</t>
  </si>
  <si>
    <t>FIVE-KEY FOLDING HEX KEY SET, INC</t>
  </si>
  <si>
    <t>3/8 MAG HEX DRVR 3PK</t>
  </si>
  <si>
    <t>TAPE MEASURE, 16-FOOT MAGNETIC DO</t>
  </si>
  <si>
    <t>TAPE MEASURE, 30-FOOT MAGNETIC DO</t>
  </si>
  <si>
    <t>AC ONLY DIGITAL CLAMP METER</t>
  </si>
  <si>
    <t>AC/DC DIGITAL CLAMP METER</t>
  </si>
  <si>
    <t>DIAGONAL CUTTING PLIERS, ANGLED H</t>
  </si>
  <si>
    <t>LINEMAN'S PLIERS, NEW ENGLAND NOS</t>
  </si>
  <si>
    <t>HYBRID PLIERS</t>
  </si>
  <si>
    <t>KLEIN-KURVE HEAVY-DUTY WIRE STRIP</t>
  </si>
  <si>
    <t>#1 STEP DRILL BIT</t>
  </si>
  <si>
    <t>#3 STEP DRILL BIT</t>
  </si>
  <si>
    <t>#14 STEP DRILL BIT</t>
  </si>
  <si>
    <t>#15 STEP DRILL BIT</t>
  </si>
  <si>
    <t>600V MULTIMETER</t>
  </si>
  <si>
    <t>VOLTAGE TESTER</t>
  </si>
  <si>
    <t>N-C VOLTAGE TESTER</t>
  </si>
  <si>
    <t>600V MIGET FUSE</t>
  </si>
  <si>
    <t>100A TO 60A FUSE REDUCER (5)</t>
  </si>
  <si>
    <t>60A TO 30A FUSE REDUCER (10)</t>
  </si>
  <si>
    <t>9.6KWH GEN-3 400V LI-ION BATT</t>
  </si>
  <si>
    <t>16KWH GEN-3 400V LI-ION BATT</t>
  </si>
  <si>
    <t>340W BLK 60C 40MM (25) [850]</t>
  </si>
  <si>
    <t>NEON2 370W BLK 60C 40MM (25)</t>
  </si>
  <si>
    <t>NEON2 380W WOB 60C 40MM (25)[850]</t>
  </si>
  <si>
    <t>NEON H+ BLK/BLK 120HC</t>
  </si>
  <si>
    <t>SOLARK BUS BAR</t>
  </si>
  <si>
    <t>4.8KWH MODULE</t>
  </si>
  <si>
    <t>INVERTER CASE</t>
  </si>
  <si>
    <t>BMS/BASE</t>
  </si>
  <si>
    <t>355W BLK 120C 35MM (30) [780]</t>
  </si>
  <si>
    <t>360W BLK 120C 35MM (30) [780]</t>
  </si>
  <si>
    <t>PREWIRED FOR 12 LINES, INDOOR</t>
  </si>
  <si>
    <t>PREWIRED FOR 12 LINE, NEMA 4X</t>
  </si>
  <si>
    <t>410W 120 CELL GEN 3</t>
  </si>
  <si>
    <t>60A TO 30A FUSE REDUCE, 250V</t>
  </si>
  <si>
    <t>600V 40A SEMICOND FUSE</t>
  </si>
  <si>
    <t>600V MIDGET FUSE</t>
  </si>
  <si>
    <t>SMALL DIM TD FUS</t>
  </si>
  <si>
    <t>110A 250V RK5 TD FUSE</t>
  </si>
  <si>
    <t>125A 250V RK5 TD FUSE</t>
  </si>
  <si>
    <t>30A 250V RK5 TD FUSE</t>
  </si>
  <si>
    <t>40A 250V RK5 TD FUSE</t>
  </si>
  <si>
    <t>50A 250V RK5 TD FUSE</t>
  </si>
  <si>
    <t>60A 250V RK5 TD FUSE</t>
  </si>
  <si>
    <t>70A 250V RK5 TD FUSE</t>
  </si>
  <si>
    <t>80A 250V RK5 TD FUSE</t>
  </si>
  <si>
    <t>90A 250V RK5 TD FUSE</t>
  </si>
  <si>
    <t>MIDGET US HOLDER 1P PV (12) [156]</t>
  </si>
  <si>
    <t>1P 30A FUSHLDR WIT INDICA(12)156</t>
  </si>
  <si>
    <t>103610SCR WWY TYE 1 UL ANSI 61 GY</t>
  </si>
  <si>
    <t>WIREWAY END</t>
  </si>
  <si>
    <t>6X6X48 SCRWCOVER WIREWAY STEEL KO</t>
  </si>
  <si>
    <t>8848 SCR WWY TYPE 1 UL ANSI 61 GY</t>
  </si>
  <si>
    <t>WWY END</t>
  </si>
  <si>
    <t>HOLE SEAL 3/4</t>
  </si>
  <si>
    <t>HOLE SEAL 1</t>
  </si>
  <si>
    <t>4TERM200A RINGLESS MET SOC 1P600V</t>
  </si>
  <si>
    <t>200 AMP METER SOCKET 1P STEEL</t>
  </si>
  <si>
    <t>200 AMP METER SOCKET 1PH ALUMINUM</t>
  </si>
  <si>
    <t>M12 PVC SHEAR TOOL</t>
  </si>
  <si>
    <t>15FT BLOWER</t>
  </si>
  <si>
    <t>COMPACT BAND SAW</t>
  </si>
  <si>
    <t>2-TOOL CMBO KT</t>
  </si>
  <si>
    <t>HAMMER DRILL/DRIVER</t>
  </si>
  <si>
    <t>18T 6" SAWZALL BLADE METAL 5/PK</t>
  </si>
  <si>
    <t>18T 9" SAWZALL BLADE 5/PK</t>
  </si>
  <si>
    <t>8T 9" SAWZALL BLADE WRECKER 5/PK</t>
  </si>
  <si>
    <t>24T 6" SAWZALL BLADE TORCH 5/PK</t>
  </si>
  <si>
    <t>24T 9" SAWZALL BLADE TORCH 5/PK</t>
  </si>
  <si>
    <t>M18 REDLITHIUM 5.0AH BAT PACK</t>
  </si>
  <si>
    <t>FOLDING UTILITY KNIFE</t>
  </si>
  <si>
    <t>100FT FISH TAPE</t>
  </si>
  <si>
    <t>200FT FISH TAPE</t>
  </si>
  <si>
    <t>CUT 1 NITRILE GLOVES - L</t>
  </si>
  <si>
    <t>CUT 1 NITRILE GLOVES - XL</t>
  </si>
  <si>
    <t>CUT 3 NITRILE GLOVES - L</t>
  </si>
  <si>
    <t>CUT 3 NITRILE GLOVES - XL</t>
  </si>
  <si>
    <t>LOCKING BIT HOLDER</t>
  </si>
  <si>
    <t>18T BANDSAW BLADE</t>
  </si>
  <si>
    <t>3PK BAND SAW BLD</t>
  </si>
  <si>
    <t>35-3/8 SAW BLADE HEAVY</t>
  </si>
  <si>
    <t>3/16 AIRCRAFT LENGHT DRILL BIT</t>
  </si>
  <si>
    <t>1/4 AIRCRAFT LENGTH DRILL BIT</t>
  </si>
  <si>
    <t>7/32 TITANIUM SHOCKWAVE DRILL BIT</t>
  </si>
  <si>
    <t>STEP DRILL BIT #12 7/8" - 1-3/8"</t>
  </si>
  <si>
    <t>10PC HOLE-SAW KIT</t>
  </si>
  <si>
    <t>1-1/4 HOLE SAW</t>
  </si>
  <si>
    <t>STARTER BIT&amp;ARBOR</t>
  </si>
  <si>
    <t>7/16 MPCT SOCKET</t>
  </si>
  <si>
    <t>13MM MPCT SOCKET</t>
  </si>
  <si>
    <t>1/2 MPCT SOCKET</t>
  </si>
  <si>
    <t>LUNAR CRIMPER FOR MC4 SOLAR PANEL</t>
  </si>
  <si>
    <t>CASE OF WATER</t>
  </si>
  <si>
    <t>345W BLK 60C 40MM (26) [884]</t>
  </si>
  <si>
    <t>MSE PERC 66 385W BLK/BLK</t>
  </si>
  <si>
    <t>425W PERC 72C BLK/BLK</t>
  </si>
  <si>
    <t>390W 72C MONO BOB 40MM (28) [700]</t>
  </si>
  <si>
    <t>405W 108HC BLK/BLK (37)</t>
  </si>
  <si>
    <t>410W 108 HC 1500V BLK/BLK</t>
  </si>
  <si>
    <t>FEMALE MC4, 10AWG (CONN W/ PIN)</t>
  </si>
  <si>
    <t>MALE MC4, 10AWG (CONN W/PIN)</t>
  </si>
  <si>
    <t>FEMALE Y CONNECTOR 2:1</t>
  </si>
  <si>
    <t>MALE Y CONNECTOR 2:1</t>
  </si>
  <si>
    <t>DISCOCONNECT &amp; ASSEMBLY TOOL</t>
  </si>
  <si>
    <t>MC-K6BY/PV-KBT4X/PV-KST4X/0060UL</t>
  </si>
  <si>
    <t>BQ END CAP (20)</t>
  </si>
  <si>
    <t>BQ MALE CONN, + HOUSING (10)</t>
  </si>
  <si>
    <t>BQ FEMALE CONN, + HOUSING (10)</t>
  </si>
  <si>
    <t>5 METER END CABLE W/ FEMALE CONN</t>
  </si>
  <si>
    <t>SEAL CAP FOR MC4, MALE</t>
  </si>
  <si>
    <t>SEAL CAP FOR MC4, FEMALE</t>
  </si>
  <si>
    <t>TOOL TO OPEN THE TRUNK CONNECTOR</t>
  </si>
  <si>
    <t>TOOL TO DISCONNET INVERTER</t>
  </si>
  <si>
    <t>TRUNK SEAL CAP</t>
  </si>
  <si>
    <t>TRUNK ENDCAP</t>
  </si>
  <si>
    <t>TRUNK CABLE LANDSCAPE 12AWG</t>
  </si>
  <si>
    <t>PVG-O, BDG-256 W/ RSD TRANSMTR</t>
  </si>
  <si>
    <t>PVG-2-L, 2:1 RSD, MC4</t>
  </si>
  <si>
    <t>BDG-256 GATEWAY W/ WIFI BOOSTER</t>
  </si>
  <si>
    <t>BDM-800</t>
  </si>
  <si>
    <t>BDM-600X-L, 2:1 MICRO, 580WAC</t>
  </si>
  <si>
    <t>BDM-600X, 2:1 MICRO, 580WAC</t>
  </si>
  <si>
    <t>PVG-1-L, 1:1 RSD, MC4</t>
  </si>
  <si>
    <t>PVG-E, RSD TRANSMTR &amp; ENCLOSURE</t>
  </si>
  <si>
    <t>SCANNER FOR DEVICE MAPPING</t>
  </si>
  <si>
    <t>11.1IN BLK CABLE TIE (100/BG)</t>
  </si>
  <si>
    <t>2/0-14AWG 8 HOL 6 CIRCUITS-NON UL</t>
  </si>
  <si>
    <t>2-14AWG DU RATED LUG</t>
  </si>
  <si>
    <t>4-14AWG DU RATED LUG</t>
  </si>
  <si>
    <t>COPPER C-TAP 6-8 MAIN GRAY</t>
  </si>
  <si>
    <t>COPPER C-TAP 4-6 MAIN BROWN</t>
  </si>
  <si>
    <t>CU LAY-IN CONNECTOR 4-14 AWG</t>
  </si>
  <si>
    <t>250MCM CONNECTOR</t>
  </si>
  <si>
    <t>INSUL PIERCING CONN</t>
  </si>
  <si>
    <t>250-6AWG INSD-TAP CONN</t>
  </si>
  <si>
    <t>4-14AWG INSD-TAP CONN</t>
  </si>
  <si>
    <t>500-4AWG INSUL-TAP CONN</t>
  </si>
  <si>
    <t>#4 CU SPLIT BOLT CONN</t>
  </si>
  <si>
    <t>#6 CU SPLIT BOLT CONN</t>
  </si>
  <si>
    <t>WIRE PULLING LUBRICANT</t>
  </si>
  <si>
    <t>0-9 WIRE MARKER BOOK</t>
  </si>
  <si>
    <t>BLU 60FT ELEC. TAPE</t>
  </si>
  <si>
    <t>GRN 60FT ELEC.TAPE</t>
  </si>
  <si>
    <t>RED 60FT ELEC. TAPE</t>
  </si>
  <si>
    <t>WHT 60FT ELEC. TAPE</t>
  </si>
  <si>
    <t>OMG ROOFING PRODUCTS</t>
  </si>
  <si>
    <t>360W BLK 120C 30MM (33) [858]</t>
  </si>
  <si>
    <t>*AC* 330W BLK 96C 40MM (24) [864]</t>
  </si>
  <si>
    <t>HWH T/S 100/JAR</t>
  </si>
  <si>
    <t>TPG SCR 100/JAR</t>
  </si>
  <si>
    <t>HWS T/S 100/JAR</t>
  </si>
  <si>
    <t>TEK SCREW 100/BX</t>
  </si>
  <si>
    <t>FLT WSHR 100/JAR</t>
  </si>
  <si>
    <t>FNDR WSHR 100/JAR</t>
  </si>
  <si>
    <t>3/16 X1/14 MSNRY SCR BLUE 100/JAR</t>
  </si>
  <si>
    <t>3/16X2.25 MSNRY SCR 1CJAR</t>
  </si>
  <si>
    <t>MSNRY SCR 100JAR</t>
  </si>
  <si>
    <t>1/4X2-1/4 MSRY SCR BLUE 100/JAR</t>
  </si>
  <si>
    <t>RH M/S 100/JAR</t>
  </si>
  <si>
    <t>DUCT SEAL 5LB</t>
  </si>
  <si>
    <t>450W 144-CELL SILVER FRAME</t>
  </si>
  <si>
    <t>12-6C SOL HR THHN MCA 1M' RL</t>
  </si>
  <si>
    <t>12-8C SOL HR THHN MCA 1M' RL</t>
  </si>
  <si>
    <t>18-2 BC TC-TFFN E2 600V [500']</t>
  </si>
  <si>
    <t>18/4 COMM WIRE 600V [500]</t>
  </si>
  <si>
    <t>18-6 BC TC-ER TFFN E2 600V [500']</t>
  </si>
  <si>
    <t>3/4-PVC-2HL-STRAP</t>
  </si>
  <si>
    <t>1-PVC-2HL-STRAP</t>
  </si>
  <si>
    <t>1/2" JUNCTION BOX ADAPTERS</t>
  </si>
  <si>
    <t>3/4 JUNCTION BOX ADAPTERS</t>
  </si>
  <si>
    <t>1" JUNCTION BOX ADAPTERS</t>
  </si>
  <si>
    <t>1-1/2" JUNCTION BOX ADAPTERS</t>
  </si>
  <si>
    <t>1 1/4 JUNCTION BOX ADAPTERS</t>
  </si>
  <si>
    <t>2" JUNCTION BOX ADAPTERS</t>
  </si>
  <si>
    <t>PVC GLUE</t>
  </si>
  <si>
    <t>PVC GLUE 1 QUART - CLEAR</t>
  </si>
  <si>
    <t>1/2-PVC-SCH-40-COND</t>
  </si>
  <si>
    <t>3/4-PVC-SCH-40-COND</t>
  </si>
  <si>
    <t>1-PVC-SCH-40-COND</t>
  </si>
  <si>
    <t>1-1/2-PVC-SCH-40-COND</t>
  </si>
  <si>
    <t>1-1/4-PVC-SCH-40-COND</t>
  </si>
  <si>
    <t>2-PVC-SCH-40-COND</t>
  </si>
  <si>
    <t>1/2-PVC-SCH-80-COND</t>
  </si>
  <si>
    <t>3/4-PVC-SCH-80-COND</t>
  </si>
  <si>
    <t>1-PVC-SCH-80-COND</t>
  </si>
  <si>
    <t>1-1/2-PVC-SCH-80-COND</t>
  </si>
  <si>
    <t>1-1/4-PVC-SCH-80-COND</t>
  </si>
  <si>
    <t>2-PVC-SCH-80-COND</t>
  </si>
  <si>
    <t>1/2-PVC-COUPLING</t>
  </si>
  <si>
    <t>3/4-PVC-COUPLING</t>
  </si>
  <si>
    <t>1-PVC-COUPLING</t>
  </si>
  <si>
    <t>1-1/2-PVC-COUPLING</t>
  </si>
  <si>
    <t>1-1/4-PVC-COUPLING</t>
  </si>
  <si>
    <t>2-PVC-COUPLING</t>
  </si>
  <si>
    <t>3/4-PVC-SCH-40-90D-ELBOW</t>
  </si>
  <si>
    <t>3/4-PVC-SCH-40-45D-ELBOW</t>
  </si>
  <si>
    <t>1-PVC-SCH-40-90D-ELBOW</t>
  </si>
  <si>
    <t>1-1/2-PVC-SCH-40-90D-ELBOW</t>
  </si>
  <si>
    <t>1-1/2-PVC-SCH-40-45D-ELBOW</t>
  </si>
  <si>
    <t>1-1/4-PVC-SCH-40-90D-ELBOW</t>
  </si>
  <si>
    <t>1-PVC-SCH-40-45D-ELBOW</t>
  </si>
  <si>
    <t>2-PVC-SCH-40-90D-ELBOW</t>
  </si>
  <si>
    <t>1/2-SCH-40-90D-BELL ELBOW</t>
  </si>
  <si>
    <t>3/4-SCH-40-90D-BELL ELBOW</t>
  </si>
  <si>
    <t>1-SCH-40-90D-BELL ELBOW</t>
  </si>
  <si>
    <t>1-1/4-SCH-40-45D-EL SAM ASEL11445</t>
  </si>
  <si>
    <t>1-PVC-SCH-80-90D-ELBOW</t>
  </si>
  <si>
    <t>1-1/2-PVC-SCH-80-90D-ELBOW</t>
  </si>
  <si>
    <t>1-1/4-PVC-SCH-80-90D-ELBOW</t>
  </si>
  <si>
    <t>1-1/4-PVC-SCH-80-45D-ELBOW</t>
  </si>
  <si>
    <t>2-PVC-SCH-80-90D-ELBOW</t>
  </si>
  <si>
    <t>1/2-PVC-FEMALE-ADPT</t>
  </si>
  <si>
    <t>3/4-PVC-FEMALE-ADPT</t>
  </si>
  <si>
    <t>1-PVC-FEMALE-APDT</t>
  </si>
  <si>
    <t>1-1/2-PVC-FEMALE-ADPT</t>
  </si>
  <si>
    <t>1-1/4-PVC-FEMALE-ADPT</t>
  </si>
  <si>
    <t>2-PVC-FEMALE-ADPT</t>
  </si>
  <si>
    <t>12X12X4 J-BOX W/CVR</t>
  </si>
  <si>
    <t>12X12X6 J-BOX W/CVR</t>
  </si>
  <si>
    <t>4X4X2 J-BOX W/CVR [12]</t>
  </si>
  <si>
    <t>4X4X4 J-BOX W/CVR [12]</t>
  </si>
  <si>
    <t>6X6X4 J-BOX W/CVR [5]</t>
  </si>
  <si>
    <t>6X6X6 J-BOX W/CVR [4]</t>
  </si>
  <si>
    <t>8X8X4 J-BOX W/CVR</t>
  </si>
  <si>
    <t>1/2-PVC-LB-COND BODY</t>
  </si>
  <si>
    <t>3/4-PVC-LB-COND BODY</t>
  </si>
  <si>
    <t>1-PVC-LB-COND BODY</t>
  </si>
  <si>
    <t>1-1/2-PVC-LB-COND BODY</t>
  </si>
  <si>
    <t>1-1/4-PVC-LB-COND BODY</t>
  </si>
  <si>
    <t>2-PVC-LB-COND BODY</t>
  </si>
  <si>
    <t>3/4-PVC-LL-COND BODY</t>
  </si>
  <si>
    <t>1-PVC-LL-COND BODY</t>
  </si>
  <si>
    <t>1-1/4-PVC-LL-COND BODY</t>
  </si>
  <si>
    <t>2-PVC-LL-COND BODY</t>
  </si>
  <si>
    <t>3/4-PVC-LR-COND BODY</t>
  </si>
  <si>
    <t>1-PVC-LR-COND BODY</t>
  </si>
  <si>
    <t>1-1/4-PVC-LR-COND BODY</t>
  </si>
  <si>
    <t>2-PVC-LR-COND BODY</t>
  </si>
  <si>
    <t>1-1/4 METER OFFSETS</t>
  </si>
  <si>
    <t>2" METER OFFSETS</t>
  </si>
  <si>
    <t>3/4'' LB T FITTING</t>
  </si>
  <si>
    <t>1/2-PVC-TERM-ADPT</t>
  </si>
  <si>
    <t>3/4-PVC-TERM-ADPT</t>
  </si>
  <si>
    <t>1-PVC-TERM-ADPT</t>
  </si>
  <si>
    <t>1-1/2-PVC-TERM-ADPT</t>
  </si>
  <si>
    <t>1-1/4-PVC-TERM-ADPT</t>
  </si>
  <si>
    <t>2-PVC-TERM-ADPT</t>
  </si>
  <si>
    <t>STICKER PACK</t>
  </si>
  <si>
    <t>FLORIDA INSTALLER PLACARD PACK</t>
  </si>
  <si>
    <t>EHS STICKER PACK</t>
  </si>
  <si>
    <t>STICKER PACK (M)</t>
  </si>
  <si>
    <t>A-CUST REFLEC LABEL-EMERG RESPOND</t>
  </si>
  <si>
    <t>[REFLECT] WARN: PV PWR SRC (RED)</t>
  </si>
  <si>
    <t>[REFLECT] RPD SHTDWN SWCH</t>
  </si>
  <si>
    <t>DC PHOTOVOLTAIC - OUTPUT CIRCUIT</t>
  </si>
  <si>
    <t>[REFLECT] PV PWR SRC COND WRP</t>
  </si>
  <si>
    <t>MAIN BRK RESIZED TO: DON'T UPSIZE</t>
  </si>
  <si>
    <t>INVERTER OUTPUT CONNECTION</t>
  </si>
  <si>
    <t>PWRFROM ROOFSOLAR ARRAY W SAF DIS</t>
  </si>
  <si>
    <t>ELEC SHCK HAZ D/N TCH TERM (RED)</t>
  </si>
  <si>
    <t>ELEC SHCK HAZ UNGRND (RED)</t>
  </si>
  <si>
    <t>WARN-EQUIPMENT FED BY MUL SOUR</t>
  </si>
  <si>
    <t>MICRO-INVERTER UNDER EACH PV MODU</t>
  </si>
  <si>
    <t>TERM LINE AND LOAD SIDES ENERGIZE</t>
  </si>
  <si>
    <t>PV SYS AC DISCONNECT COMBO LABEL</t>
  </si>
  <si>
    <t>PV AC DISCONNECT RATING</t>
  </si>
  <si>
    <t>WARN: DUAL PWR SUPPLY (RED)</t>
  </si>
  <si>
    <t>AC JUNC BOX LINE LOAD ENERGIZED</t>
  </si>
  <si>
    <t>BREAKER IS BACKFED DON'T RELOCATE</t>
  </si>
  <si>
    <t>LINE SIDE TAP</t>
  </si>
  <si>
    <t>WARN:THREE PWR SOURS: UTLY GRID</t>
  </si>
  <si>
    <t>[AC RATING LABEL] 5 WRITE IN LINE</t>
  </si>
  <si>
    <t>PHOTOVOLTAIC-POWER SOURDE</t>
  </si>
  <si>
    <t>DO NOT OPEN UNDER LOAD</t>
  </si>
  <si>
    <t>PV SYSTEM- DISCONNECT RED</t>
  </si>
  <si>
    <t>DC JUNCTION BOX</t>
  </si>
  <si>
    <t>MAIN SOLAR SYS AC DISCONNECT</t>
  </si>
  <si>
    <t>D/N UP SIZE MAIN BRKR</t>
  </si>
  <si>
    <t>AC COMB BOX (RED)</t>
  </si>
  <si>
    <t>WARNING-SOLAR ELECTRIC-CIRCUIT BR</t>
  </si>
  <si>
    <t>PV SOLAR BRKR D/N RELOC (RED)</t>
  </si>
  <si>
    <t>PV BREAKER - DNR</t>
  </si>
  <si>
    <t>RPD SHTDWN PV ARRAY</t>
  </si>
  <si>
    <t>PV SYS COMBINER PANEL (RED)</t>
  </si>
  <si>
    <t>CAU:DONT INSTALL ADDI LOADS IN PA</t>
  </si>
  <si>
    <t>TURN OFF PV AC DISCO PRIOR TO WOR</t>
  </si>
  <si>
    <t>AC MICRO INVERT LOCA UNDER MODULE</t>
  </si>
  <si>
    <t>SOLAR CONNECTION- LINE SIDE TAP</t>
  </si>
  <si>
    <t>WARNING DUAL POWER SUPPLY-SOURCES</t>
  </si>
  <si>
    <t>SOLAR CIRC COND WRAP (RED)</t>
  </si>
  <si>
    <t>WARNING PLACARD</t>
  </si>
  <si>
    <t>[PLAC] ELEC SHCK HAZ UNGRND (RED)</t>
  </si>
  <si>
    <t>WARN: EQUIP FED BY MULT SOU(PLAC)</t>
  </si>
  <si>
    <t>DUAL PWR UTIL PV SOL SYS ELE PLAC</t>
  </si>
  <si>
    <t>WARN INVERTER OUTPUT CONNT (PLAC)</t>
  </si>
  <si>
    <t>WARN:LINE &amp; LOAD SIDE ENER (PLAC)</t>
  </si>
  <si>
    <t>CAU:PWR SUP FR SOU WI DISCO(PLAC)</t>
  </si>
  <si>
    <t>[PLAC] RAPID SHTDWN SWCH</t>
  </si>
  <si>
    <t>PV SYS COMB PANEL DON'T ADD LOADS</t>
  </si>
  <si>
    <t>PLAC:WAR-METE ALSO SERVD BY PV SY</t>
  </si>
  <si>
    <t>PV -AC DISCONNECT (PLACARD)</t>
  </si>
  <si>
    <t>MAX AC OPER CURR &amp; VOLTA(PLACARD)</t>
  </si>
  <si>
    <t>[NEW PLACARD]ON-SITE DISCO SWTCH</t>
  </si>
  <si>
    <t>PV AC DISCONNECT RATING (PLACARD)</t>
  </si>
  <si>
    <t>PV SYSTEM DC DISCONNECT WHT BOXES</t>
  </si>
  <si>
    <t>ELEC SHCK HAZ D/N TCH TERM (ANSI)</t>
  </si>
  <si>
    <t>WARNING EQUIP FED BY MULT SOURC</t>
  </si>
  <si>
    <t>PV SYS DC DISCO - WRITABLE</t>
  </si>
  <si>
    <t>SLR PV SYS EQUP W/RAP SHUT (YLW)</t>
  </si>
  <si>
    <t>PV SYS EQUIP WITH RAPID SHUTDOWN</t>
  </si>
  <si>
    <t>PV SYS AC DISCO - WRITABLE</t>
  </si>
  <si>
    <t>WARN: DUAL PWR SUPPLY (ANSI)</t>
  </si>
  <si>
    <t>WARN POWER SOURCE OUT CONN (ANSI)</t>
  </si>
  <si>
    <t>WARN: PV PWR SRC (ANSI)</t>
  </si>
  <si>
    <t>PV SYS METER [WHT]</t>
  </si>
  <si>
    <t>CAUTON-SOLAR ELEC SYS CONN (ANSI)</t>
  </si>
  <si>
    <t>PV SOLAR BRKR</t>
  </si>
  <si>
    <t>PV SOLAR BRKR D/N RELOC (WHT)</t>
  </si>
  <si>
    <t>DO NOT RELOCATE</t>
  </si>
  <si>
    <t>PV SYS COMBINER PANEL (ANSI)</t>
  </si>
  <si>
    <t>WARN: SERVICE MTR (ANSI)</t>
  </si>
  <si>
    <t>RSD INSTRUC. REFLECT. 6"X3.5"</t>
  </si>
  <si>
    <t>[REFLECT] WARN: PV PWR SRC (ANSI)</t>
  </si>
  <si>
    <t>SOLA PV SYS EQUIP RAPIDSHUT(ALUM)</t>
  </si>
  <si>
    <t>CUSTOM FOR LUMIO</t>
  </si>
  <si>
    <t>RAPID SHUT MODULE, 2:1</t>
  </si>
  <si>
    <t>BATT ACCESSORY BOX, MASTER CNTRL</t>
  </si>
  <si>
    <t>SLAVE CNTRL, BATT ACCESSORY BOX</t>
  </si>
  <si>
    <t>Q.HOME+ TX-8.6, AUTOTRANSFORMER</t>
  </si>
  <si>
    <t>BAT BMS-G1, CABINET</t>
  </si>
  <si>
    <t>METER SET, *INCLUDED IN INVERTER</t>
  </si>
  <si>
    <t>WIFI MODULE</t>
  </si>
  <si>
    <t>G10+ 400W BLK 132C 32MM (32)</t>
  </si>
  <si>
    <t>400W BLK BIFACIAL</t>
  </si>
  <si>
    <t>G10 395W 132C 32MM (26)</t>
  </si>
  <si>
    <t>G10 360W BLK 120C 32MM (32) [832]</t>
  </si>
  <si>
    <t>365W 120HC BOB</t>
  </si>
  <si>
    <t>*ACM* G10+ 360 BLK 120C 40MM (32)</t>
  </si>
  <si>
    <t>G10+ 365W BLK 40MM (26) [832]</t>
  </si>
  <si>
    <t>365W HIGH LOAD</t>
  </si>
  <si>
    <t>G6+ 340W BLK 120C 32MM (32) [768]</t>
  </si>
  <si>
    <t>480W MONO XL BIFACIAL</t>
  </si>
  <si>
    <t>G6+ 350W BOW 120C 32MM (32) [768]</t>
  </si>
  <si>
    <t>395W 144HC SOW</t>
  </si>
  <si>
    <t>BAT63, 6.3KW BATTERY MODULE</t>
  </si>
  <si>
    <t>Q.HOME+ HYB-G1 8.6KW INVERTER</t>
  </si>
  <si>
    <t>360W 120C MONO BOB</t>
  </si>
  <si>
    <t>NP2 365W BLK 120C 30MM (33) [924]</t>
  </si>
  <si>
    <t>TP4 365W BLK 120C 30MM (33) [924]</t>
  </si>
  <si>
    <t>ALPHA 395W BLK 66C HJT 30MM (33)</t>
  </si>
  <si>
    <t>ALPHA 400W BLK 66C HJT 30MM (33)</t>
  </si>
  <si>
    <t>66C BLK M4+ HJT 405W</t>
  </si>
  <si>
    <t>GEN 2 MINI, 20/BX  (80) [2560]</t>
  </si>
  <si>
    <t>GEN 2 - FLANGE BOLT/NUT</t>
  </si>
  <si>
    <t>XTRA SCREWS FOR MINI BASE</t>
  </si>
  <si>
    <t>330W 60 CELL BLK/BLK</t>
  </si>
  <si>
    <t>PROTEA/RIBBRACKET SCREW</t>
  </si>
  <si>
    <t>CORRUBRACKET (75) [300]</t>
  </si>
  <si>
    <t>M8-1.25 X 20MM LONG BOLT (200)</t>
  </si>
  <si>
    <t>CLAMP TO SEAM GAUGE TOOL</t>
  </si>
  <si>
    <t>PROTEA BRACKET (100)</t>
  </si>
  <si>
    <t>S5 H CLAMP</t>
  </si>
  <si>
    <t>S5-N GRIP (30) [120]</t>
  </si>
  <si>
    <t>S5-N 1.5 (24) [96]</t>
  </si>
  <si>
    <t>S5-N MINI GRIP (50)[250] BOLT REQ</t>
  </si>
  <si>
    <t>S5-NH 1.5 (24) [96]</t>
  </si>
  <si>
    <t>S5-S (30) [150]</t>
  </si>
  <si>
    <t>S5-U (30) [150]</t>
  </si>
  <si>
    <t>#14 X 1.5" METAL TO METAL SCREW</t>
  </si>
  <si>
    <t>1.5" METAL TO WOOD (250) [1500]</t>
  </si>
  <si>
    <t>14 X 2.5" METAL TO METAL SCREW</t>
  </si>
  <si>
    <t>M8 FLANGE NUT</t>
  </si>
  <si>
    <t>M8-1.25 X 16MM SHORT BOLT (200)</t>
  </si>
  <si>
    <t>SOLAR FOOT (50) [200]</t>
  </si>
  <si>
    <t>VERSA BRACKET (100) [400]</t>
  </si>
  <si>
    <t>PERFECT POWER BOX [6]</t>
  </si>
  <si>
    <t>CONEXT MPPT100-600</t>
  </si>
  <si>
    <t>ENERGY MONITOR W/CTS</t>
  </si>
  <si>
    <t>150A RISER MAIN CB KT</t>
  </si>
  <si>
    <t>2P 175A CONV KIT</t>
  </si>
  <si>
    <t>200A RISER MAIN CB KT</t>
  </si>
  <si>
    <t>200A LD-CTR</t>
  </si>
  <si>
    <t>SP 15/15A 120/240V CB</t>
  </si>
  <si>
    <t>SP 15/20A 120/240V CB</t>
  </si>
  <si>
    <t>2P 125A 120/240V CB</t>
  </si>
  <si>
    <t>2P 15A 120/240V CB</t>
  </si>
  <si>
    <t>2P 20A 120/240V CB</t>
  </si>
  <si>
    <t>2P 30A 120/240V CB</t>
  </si>
  <si>
    <t>2P 40A 120/240V CB</t>
  </si>
  <si>
    <t>2P 50A 120/240V CB</t>
  </si>
  <si>
    <t>2P 60A 120/240V CB</t>
  </si>
  <si>
    <t>2P 70A 120/240V CB</t>
  </si>
  <si>
    <t>360W BLK 66C 38MM (26) [832]</t>
  </si>
  <si>
    <t>PRIME 370 BLK 120C 35MM (26) 884</t>
  </si>
  <si>
    <t>ELITE 380 BLK 66C 38MM (26) [884]</t>
  </si>
  <si>
    <t>400W 132 HC PRIME BLK/BLK</t>
  </si>
  <si>
    <t>410W 66C ELITE BLK/BLK</t>
  </si>
  <si>
    <t>JMS-F,SUNSPEC SHTDWN MOD (40)</t>
  </si>
  <si>
    <t>SNAP-IN WIRE CLIP</t>
  </si>
  <si>
    <t>COMP FLASHING,9"X12",SILVER ALUM(</t>
  </si>
  <si>
    <t>END CAP, UR-60</t>
  </si>
  <si>
    <t>UR-60 RAIL, 172", MILL</t>
  </si>
  <si>
    <t>UR-60 RAIL, 172IN, BLACK</t>
  </si>
  <si>
    <t>ARRAY EDGE SCREEN, 6" BLACK(100')</t>
  </si>
  <si>
    <t>TILE HOOK REPLACE FLASHING, F</t>
  </si>
  <si>
    <t>TILE HOOK REPLACE FLASHING, S</t>
  </si>
  <si>
    <t>TILE HOOK REPLACET FLASHING, W</t>
  </si>
  <si>
    <t>STANDOFF BASE 1-HOLE</t>
  </si>
  <si>
    <t>ULTRA RAIL SPLICE BLACK</t>
  </si>
  <si>
    <t>ULTRA RAIL UM L FOOT, SIL</t>
  </si>
  <si>
    <t>ULTRA RAIL MOUNT HARDWARE, BLK</t>
  </si>
  <si>
    <t>SPLICE, UR-60, SILVER</t>
  </si>
  <si>
    <t>MID CLAMP, BLACK</t>
  </si>
  <si>
    <t>GROUND LUG R , 6-12 AWG</t>
  </si>
  <si>
    <t>CONDUIT SUPPORT TILE HOOK</t>
  </si>
  <si>
    <t>UNIVERSAL WIRE CLAM</t>
  </si>
  <si>
    <t>UR SPEEDSEAL FOOT, BLACK</t>
  </si>
  <si>
    <t>SEALING WASHER LAG, 4 1/2", SS</t>
  </si>
  <si>
    <t>END CLAMP, UNIVERSAL</t>
  </si>
  <si>
    <t>ULTRA RAIL TILE HOOK</t>
  </si>
  <si>
    <t>CONDUIT SUPPORT, 3/4" EMT (20)</t>
  </si>
  <si>
    <t>MICRO MOUNT BOLT</t>
  </si>
  <si>
    <t>ULTRA RAIL TILT STANDOFF, 5-1/2IN</t>
  </si>
  <si>
    <t>SNRAC,ULTRA RAIL TILT STANDOFF,10</t>
  </si>
  <si>
    <t>SNRAC,ULTRA RAIL TILT STANDOFF,14</t>
  </si>
  <si>
    <t>JBOX XL FOR RAIL</t>
  </si>
  <si>
    <t>UMBRELLA LAG, 4"</t>
  </si>
  <si>
    <t>4 STRING DC PASS THRU KIT</t>
  </si>
  <si>
    <t>TILE ROOF COMB. BOX</t>
  </si>
  <si>
    <t>SOLADECK BLACK (NEW STYLE)</t>
  </si>
  <si>
    <t>8MM TERM BLOCK JUMPER (ABB JB8-2)</t>
  </si>
  <si>
    <t>12K 120/240/208V (MAX 16500W) [5]</t>
  </si>
  <si>
    <t>8K 120/240/208V 48V HYBRID INVRTR</t>
  </si>
  <si>
    <t>15K 120/240/208V-3P, NEMA-3R</t>
  </si>
  <si>
    <t>4TH GENERATION ETHERNET NETWRK CA</t>
  </si>
  <si>
    <t>ENERGY BANK 10 KWH BATTERY</t>
  </si>
  <si>
    <t>BACKUP INTERFACE, SERVICE SIDE</t>
  </si>
  <si>
    <t>BACKUP INTERFACE, LOAD SIDE</t>
  </si>
  <si>
    <t>2P 40A UL1077 CIRCUIT BREAKER</t>
  </si>
  <si>
    <t>63A CIRCT BRKR FRBUINFKIT,10-11.4</t>
  </si>
  <si>
    <t>CELLULAR MODEM, 5 YR PLAN (14)</t>
  </si>
  <si>
    <t>ENERGY NET COMMUNICATIONS PLUG-IN</t>
  </si>
  <si>
    <t>PARALLEL BRANCH CONNECTORS</t>
  </si>
  <si>
    <t>1100W/125V, PVRSS COMPLIANT</t>
  </si>
  <si>
    <t>400W OPT,  60V</t>
  </si>
  <si>
    <t>PWR OPTZR 505W/ 83V(BX 10,240/PAL</t>
  </si>
  <si>
    <t>440W 60VOC 14.5ISC</t>
  </si>
  <si>
    <t>POWER OPTIMIZER 500W/ 60V</t>
  </si>
  <si>
    <t>EV KIT 25' J1772 40A CABLE V2 HOL</t>
  </si>
  <si>
    <t>WIRELESS GATEWAY + ANTENNA</t>
  </si>
  <si>
    <t>SNGL PH INVTR W/HD-WAVE TECH,10.0</t>
  </si>
  <si>
    <t>SNGL PH INVTR HD WAVE,10.0KW,W/RG</t>
  </si>
  <si>
    <t>SET-APP 10KW HD WAVE</t>
  </si>
  <si>
    <t>ENERGYHUB,10KW,10KW BATT ACES,W/R</t>
  </si>
  <si>
    <t>SET-APP 11.4 KW HD WAVE</t>
  </si>
  <si>
    <t>ENERGY HUB 11.4KW/ 10K</t>
  </si>
  <si>
    <t>ENERGYHUB,11.4KW,10KW BATTERYACCE</t>
  </si>
  <si>
    <t>3K SCREENED INVRTR</t>
  </si>
  <si>
    <t>SNGL PH INVTR HD WAVE,3.8KW,W/RGM</t>
  </si>
  <si>
    <t>SET-APP 3.8KW HD WAVE</t>
  </si>
  <si>
    <t>SNGL PH INVTR W/HD-WAVE TECH,1</t>
  </si>
  <si>
    <t>SET-APP 5KW HD WAVE</t>
  </si>
  <si>
    <t>SNGL PHASE INVTR HD WAVE, 6.0K</t>
  </si>
  <si>
    <t>SET-APP 6KW HD WAVE</t>
  </si>
  <si>
    <t>1 PH INVTR W/HD-WAVE TECHNLGY,7.6</t>
  </si>
  <si>
    <t>SNGL PH INVTR HD WAVE,7.6KW,W/RGM</t>
  </si>
  <si>
    <t>SET-APP 7.6KW HD WAVE</t>
  </si>
  <si>
    <t>ENERGY HUB 7.6KW/10KW BATTERY W/R</t>
  </si>
  <si>
    <t>SOLAREDGE 225A CT (20)</t>
  </si>
  <si>
    <t>390W BLK/BLK DC PANEL</t>
  </si>
  <si>
    <t>400W BLK 35MM (31) [806]</t>
  </si>
  <si>
    <t>RESIDENTIAL TRANSITION BOX</t>
  </si>
  <si>
    <t>LO-PRO RESI DC TRANS BOX</t>
  </si>
  <si>
    <t>SPAN SMART PANEL</t>
  </si>
  <si>
    <t>CONTACTOR 600VAC</t>
  </si>
  <si>
    <t>HUB 1 INCH RAINPROOF FOR</t>
  </si>
  <si>
    <t>HUB 1.25 INCHES RAINPROOF</t>
  </si>
  <si>
    <t>HUB 2.50 INCHES RAINPROOF</t>
  </si>
  <si>
    <t>SWITCH FUSIBLE GD 240V</t>
  </si>
  <si>
    <t>100A DISCONNECT</t>
  </si>
  <si>
    <t>KIT CLASS R FUSE</t>
  </si>
  <si>
    <t>SWITCH NOT FUSIBLE GD</t>
  </si>
  <si>
    <t>3PH 100A DISCO NONFUSIBLE GD</t>
  </si>
  <si>
    <t>MINI CIR 15A, 1 POLE, 120/240 VAC</t>
  </si>
  <si>
    <t>MINI CIR 20A, 1 POLE, 120/240 VAC</t>
  </si>
  <si>
    <t>HOM INDR 125A MLO</t>
  </si>
  <si>
    <t>125A PANEL 12SPC 24CIR</t>
  </si>
  <si>
    <t>HOM BREAKER TETAINING KIT</t>
  </si>
  <si>
    <t>HOM 125A 20-SP 40-CIR OUTD NEMA 3</t>
  </si>
  <si>
    <t>2P15A MINIATURE CIRCUIT BREAKER</t>
  </si>
  <si>
    <t>MINIATURE CIRCUIT</t>
  </si>
  <si>
    <t>220A BRK</t>
  </si>
  <si>
    <t>2P25A BRK</t>
  </si>
  <si>
    <t>2P30A BRK</t>
  </si>
  <si>
    <t>2P40A BRK</t>
  </si>
  <si>
    <t>2P45A BRK</t>
  </si>
  <si>
    <t>2P50A BRK</t>
  </si>
  <si>
    <t>2P60A BRK</t>
  </si>
  <si>
    <t>SWITCH NOT FUSIBLE HD</t>
  </si>
  <si>
    <t>23 SPC GRND BAR</t>
  </si>
  <si>
    <t>LOAD CENTER GROUND BAR</t>
  </si>
  <si>
    <t>LOAD CENTER EQUIPMENT</t>
  </si>
  <si>
    <t>MINIATURE CIRCUIT BREAKER</t>
  </si>
  <si>
    <t>MINIATURE CB 120/240V</t>
  </si>
  <si>
    <t>2P100A BRK</t>
  </si>
  <si>
    <t>MINI CIR BREAKER QO 15A  2 POLE</t>
  </si>
  <si>
    <t>2P35A BRK</t>
  </si>
  <si>
    <t>LOAD CENTER QO MLO</t>
  </si>
  <si>
    <t>2P70A BRK</t>
  </si>
  <si>
    <t>2P80A BRK</t>
  </si>
  <si>
    <t>QO TNDM 20/20A 120/240V CB</t>
  </si>
  <si>
    <t>METER MAIN RING</t>
  </si>
  <si>
    <t>SOLAR STACK - STANDARD PROFILE 8"</t>
  </si>
  <si>
    <t>GAF CLEANING CONCENTRATE</t>
  </si>
  <si>
    <t>SOLAR STACK END CAPS</t>
  </si>
  <si>
    <t>FOAM ADHESIVE AH-160 PROPACK 30</t>
  </si>
  <si>
    <t>TPO RED PRIMER, 1 GALLON</t>
  </si>
  <si>
    <t>5.12 KWH BATTERY</t>
  </si>
  <si>
    <t>SMART ACCESS CONTROLLER</t>
  </si>
  <si>
    <t>10 KWH INDOOR/OUTDOOR CABINET</t>
  </si>
  <si>
    <t>12K INVERTER</t>
  </si>
  <si>
    <t>36KW PV STRING INVERTER</t>
  </si>
  <si>
    <t>60KW PV STRING INVERTER</t>
  </si>
  <si>
    <t>RAIL- HR300- 166"- MILL</t>
  </si>
  <si>
    <t>RAIL- HR300 - 206"- MILL [100]</t>
  </si>
  <si>
    <t>END CAP- HR300</t>
  </si>
  <si>
    <t>SMR100 RAIL- BLACK ANODIZED- 168"</t>
  </si>
  <si>
    <t>SMR100 RAIL- MILL FINISH- 168"</t>
  </si>
  <si>
    <t>RAIL END CAP-SMR100- BLACK</t>
  </si>
  <si>
    <t>SMR300 RAIL MILL FINISH 212IN</t>
  </si>
  <si>
    <t>RAIL END CAP SMR300 CLEAR</t>
  </si>
  <si>
    <t>PIPE- HSS- 2.375"- 60"- 12GA</t>
  </si>
  <si>
    <t>PIPE- HSS- 2.375"- 120"- 12GA</t>
  </si>
  <si>
    <t>PIPE- HSS- 2.5"- 112" LONG</t>
  </si>
  <si>
    <t>HSS BRACE TUBE- 66"</t>
  </si>
  <si>
    <t>HSS TUBE BRACE W/ HOLES- 92"</t>
  </si>
  <si>
    <t>WIRE MANGEMENT CLIP</t>
  </si>
  <si>
    <t>T-FOOT EZ METAL ROOF KIT</t>
  </si>
  <si>
    <t>SHARED RAIL ADAPTER</t>
  </si>
  <si>
    <t>GNDG HR350 RLSPLICE KT 3/8 SLOT C</t>
  </si>
  <si>
    <t>GRND LUG KIT W/ HEX SCRW</t>
  </si>
  <si>
    <t>UNIV GROUND MID CLAMP 2.1" TBOLT</t>
  </si>
  <si>
    <t>MID CLAMP SHARE RL AD 2.1" TBOLT</t>
  </si>
  <si>
    <t>2" AL PIPE CLAMP KIT GRDG W/ SCRE</t>
  </si>
  <si>
    <t>2.5" AL PIPE CLAMP KIT- GRNDING</t>
  </si>
  <si>
    <t>END CLAMP KIT- UNVRSL 33-50MM</t>
  </si>
  <si>
    <t>END CLAMP KIT-ADJ (UNIV 30-46MM)-</t>
  </si>
  <si>
    <t>2.5" PIPE T CAP KIT</t>
  </si>
  <si>
    <t>2.5" PIPE SPLICE KIT</t>
  </si>
  <si>
    <t>2.5" PIPE U-CLAMP KIT W/ INSLTR</t>
  </si>
  <si>
    <t>2.5" PIPE UCLMP KT W/INSLATR &amp; TB</t>
  </si>
  <si>
    <t>ANCHOR- 10" HELIX BLADE AUGER- 79</t>
  </si>
  <si>
    <t>MID CLAMP SMR POP-ON CLEAR</t>
  </si>
  <si>
    <t>MID CLAMP- SMR POP-ON- BLACK</t>
  </si>
  <si>
    <t>END CLAMP SMR POP-ON CLEAR</t>
  </si>
  <si>
    <t>END CLAMP- SMR POP-ON- BLACK</t>
  </si>
  <si>
    <t>SMR 100 STRUCTURAL SPLICE</t>
  </si>
  <si>
    <t>L FOOT ADAPTOR- SMR100- BLACK</t>
  </si>
  <si>
    <t>2.5" PIPE INTERNL SPLC KT-SUNTURF</t>
  </si>
  <si>
    <t>5" TOPTILE DECK- HEX-HD (4) [32]</t>
  </si>
  <si>
    <t>5IN WOOD DECK TOPTILE MOUNT BLACK</t>
  </si>
  <si>
    <t>7" TOPTILE DECK- HEX-HD (4) [32]</t>
  </si>
  <si>
    <t>7" WOOD DECK TOPTILE MOUNT BLACK</t>
  </si>
  <si>
    <t>SMR GROUNDING LUG</t>
  </si>
  <si>
    <t>HR GROUNDING LUG</t>
  </si>
  <si>
    <t>STRUCTURAL SPLICE SMR300</t>
  </si>
  <si>
    <t>NANOMOUNT LAG BOLT KIT- BLACK</t>
  </si>
  <si>
    <t>SMR MICROINVERTER MOUNT KIT</t>
  </si>
  <si>
    <t>NANO DECKING SCREW KIT- BLACK</t>
  </si>
  <si>
    <t>NANO DECKING SCREW KIT BLACK</t>
  </si>
  <si>
    <t>NANOMOUNT- BLACK</t>
  </si>
  <si>
    <t>3/4 90D D/C BX-FLEX CONN</t>
  </si>
  <si>
    <t>1IN D/C OFFSET NIPPLE 10/100-PK</t>
  </si>
  <si>
    <t>1-1/4 D/C OFFSET NIPPLE 5/50-PK</t>
  </si>
  <si>
    <t>2IN D/C OFFSET NIPPLE</t>
  </si>
  <si>
    <t>3/4 EMT TO FLEX COMB CPLG 25/250</t>
  </si>
  <si>
    <t>3/4 BOX SPACING CONN 25/PK</t>
  </si>
  <si>
    <t>3/4 BX-FLEX STRT SQZ CONN 25/250</t>
  </si>
  <si>
    <t>1IN BX-FLEX STRT SQZ CONN</t>
  </si>
  <si>
    <t>3/4 RGD W/T HUB</t>
  </si>
  <si>
    <t>1IN RGD W/T HUB</t>
  </si>
  <si>
    <t>1-1/4 RGD W/T HUB 2/20-PK</t>
  </si>
  <si>
    <t>1-1/2 RGD W/T HUB 2/20-PK</t>
  </si>
  <si>
    <t>3/4 D/C RIGID LOCKNUT 100/1000PK</t>
  </si>
  <si>
    <t>1IN D/C RIGID LOCKNUT</t>
  </si>
  <si>
    <t>1-1/4 D/C RIGID LOCKNUT</t>
  </si>
  <si>
    <t>1-1/2 D/C RIGID LOCKNUT</t>
  </si>
  <si>
    <t>2IN STL CMPRN RGD CONN</t>
  </si>
  <si>
    <t>3/4 STL EMT-L/T COMB CPLG</t>
  </si>
  <si>
    <t>3/4 STL RGD LOCKNUT</t>
  </si>
  <si>
    <t>1IN STL RGD LOCKNUT 100/1000PK</t>
  </si>
  <si>
    <t>1-1/4 STL RGD LOCKNUT 50/BX</t>
  </si>
  <si>
    <t>2IN STL RGD LOCKNUT</t>
  </si>
  <si>
    <t>3/4 D/C INS GND RGD BSHG 50/500PK</t>
  </si>
  <si>
    <t>1IN D/C INS GND RGD BSHG 25/250PK</t>
  </si>
  <si>
    <t>3/4 EMT PULL ELL 5/50PK</t>
  </si>
  <si>
    <t>5/8 DB GRD ROD CLMP</t>
  </si>
  <si>
    <t>3/4 DB GRD ROD CLMP 50-PK</t>
  </si>
  <si>
    <t>3/4 D/C SCR-IN FLEX CONN 25/250PK</t>
  </si>
  <si>
    <t>1IN D/C SCR-IN FLEX CONN 25/250PK</t>
  </si>
  <si>
    <t>1-1/4 D/C SCR-IN FLEX CON</t>
  </si>
  <si>
    <t>3/4 D/C SCR-IN FLEX CPLG 25/250PK</t>
  </si>
  <si>
    <t>1IN D/C SCR-IN FLEX CPLG 25/250PK</t>
  </si>
  <si>
    <t>3/4 STRT CMPNT L/T CONN 10/BX</t>
  </si>
  <si>
    <t>1IN STRT CMPNT L/T CONN 5/50</t>
  </si>
  <si>
    <t>1-1/4 STRT CMPNT L/T CONN</t>
  </si>
  <si>
    <t>3/4 90D CMPNT L/T CONN 10/100-PK</t>
  </si>
  <si>
    <t>1IN 90D CMPNT L/T CONN</t>
  </si>
  <si>
    <t>1-1/4 90D CMPNT L/T CONN</t>
  </si>
  <si>
    <t>3/4 1HL EMT STRAP 100/1000-PK</t>
  </si>
  <si>
    <t>1IN 1HL EMT STRAP 50/500 PK</t>
  </si>
  <si>
    <t>3/4 GALV TUBULAR COUP</t>
  </si>
  <si>
    <t>3/4 2HL EMT STRAP</t>
  </si>
  <si>
    <t>1-1/4 2HL EMT STRAP</t>
  </si>
  <si>
    <t>1-IN GALV TUBULAR COUP</t>
  </si>
  <si>
    <t>3/4 1HL RGD STRAP 50/500</t>
  </si>
  <si>
    <t>1IN 1HL RGD STRAP 25/250-PK</t>
  </si>
  <si>
    <t>1-1/4 1HL RGD STRAP 20/200PK</t>
  </si>
  <si>
    <t>1-1/4 GALV TUBULAR COUP</t>
  </si>
  <si>
    <t>3/4 STL GRDG LOCKNUT</t>
  </si>
  <si>
    <t>1IN STL GRDG LOCKNUT</t>
  </si>
  <si>
    <t>3/4 COND HGR W/BLT&amp;NT 100/PK</t>
  </si>
  <si>
    <t>1-IN COND HGR W/BLT&amp;NT 100-PK</t>
  </si>
  <si>
    <t>1-1/4 COND HGR W/BLT&amp;NT 100/PK</t>
  </si>
  <si>
    <t>2IN COND HGR W/BLT&amp;NT</t>
  </si>
  <si>
    <t>3/4 STL S/SCR EMT CONN</t>
  </si>
  <si>
    <t>3/4 ZNC S/SCR EMT CPLG</t>
  </si>
  <si>
    <t>3/4XCL GALV NIPPLE 25/400-PK</t>
  </si>
  <si>
    <t>3/4X2 GALV NIPPLE</t>
  </si>
  <si>
    <t>1XCL GALV NIPPLE</t>
  </si>
  <si>
    <t>1-1/4XCL GALV NIPPLE</t>
  </si>
  <si>
    <t>3/4 STL CMPRN EMT CONN 25/250-PK</t>
  </si>
  <si>
    <t>3/4 COMPRN EMT CONECTOR 25/250-PK</t>
  </si>
  <si>
    <t>1IN STL CMPRN EMT CONN</t>
  </si>
  <si>
    <t>1IN COMPRN EMT CONECTOR 10/100-PK</t>
  </si>
  <si>
    <t>1-1/4 COMPRN EMT CONN 25/PK</t>
  </si>
  <si>
    <t>3/4 COMPRN R/T EMT CPLG 25/250-PK</t>
  </si>
  <si>
    <t>1IN COMPRN R/T EMT CPLG 10/100-PK</t>
  </si>
  <si>
    <t>1-1/4 COMPRN R/T EMT CPL 25/PK</t>
  </si>
  <si>
    <t>1/2 STL SEAL LOCKNUT 50/500</t>
  </si>
  <si>
    <t>3/4 STL SEAL LOCKNUT 50/500PK</t>
  </si>
  <si>
    <t>1IN STL SEAL LOCKNUT 25/250PK</t>
  </si>
  <si>
    <t>1-1/4 STL SEAL LOCKNUT 10/100PK</t>
  </si>
  <si>
    <t>1-1/2 STL SEAL LOCKNUT 10/100PK</t>
  </si>
  <si>
    <t>3/4 90D EMT ELL</t>
  </si>
  <si>
    <t>1-IN 90D EMT ELL 20/PK</t>
  </si>
  <si>
    <t>1/2 INSL PLS BSHG 100/1000PK</t>
  </si>
  <si>
    <t>3/4 INSL PLS BSHG</t>
  </si>
  <si>
    <t>1IN INSL PLS BSHG</t>
  </si>
  <si>
    <t>1-1/4 INSL PLS BSHG</t>
  </si>
  <si>
    <t>1-1/2 INSL PLS BSHG</t>
  </si>
  <si>
    <t>2IN INSL PLS BSHG 20/200-PK</t>
  </si>
  <si>
    <t>1X3/4 REDUCING WASHER</t>
  </si>
  <si>
    <t>1-1/4X1 REDUCING WASHER 50/500-PK</t>
  </si>
  <si>
    <t>1-1/2X1 REDUCING WASHER 50/500-PK</t>
  </si>
  <si>
    <t>2X3/4 REDUCING WASHER</t>
  </si>
  <si>
    <t>2-1/2X2 REDUCING WASHER</t>
  </si>
  <si>
    <t>3/4 AL RGD COND BODY</t>
  </si>
  <si>
    <t>1-1/4 STL BX KO SEAL</t>
  </si>
  <si>
    <t>3/4 AL RGD LB COND BODY 10/50-PK</t>
  </si>
  <si>
    <t>1IN AL RGD LB COND BODY 5/25-PK</t>
  </si>
  <si>
    <t>1-1/4 AL RGD LB COND BODY 2/10-PK</t>
  </si>
  <si>
    <t>3/4 AL RGD LL COND BODY 10/50-PK</t>
  </si>
  <si>
    <t>1IN AL RGD LL COND BODY 5/25-PK</t>
  </si>
  <si>
    <t>1-1/4 AL RGD LL COND BODY</t>
  </si>
  <si>
    <t>3/4 AL RGD LR COND BODY 10/50-PK</t>
  </si>
  <si>
    <t>1IN AL RGD LR COND BODY 5/25-PK</t>
  </si>
  <si>
    <t>1-1/4 AL RGD LR COND BODY</t>
  </si>
  <si>
    <t>3/4 NPT HUB L/T C/G</t>
  </si>
  <si>
    <t>1/2 GRY NYL L/T CONN</t>
  </si>
  <si>
    <t>3/4 GRY NYL L/T CONN 10/BX</t>
  </si>
  <si>
    <t>1IN GRY NYL L/T CONN 5/50</t>
  </si>
  <si>
    <t>1-1/4 GRY NYL L/T CONN</t>
  </si>
  <si>
    <t>3/4 GRY 90D NYL L/T CONN 10/100PK</t>
  </si>
  <si>
    <t>1IN GRY 90D NYL L/T CONN 50/5</t>
  </si>
  <si>
    <t>1-1/4 GRY 90D NYL L/T CONN</t>
  </si>
  <si>
    <t>3/4 NYL KO SEAL</t>
  </si>
  <si>
    <t>6-12AWG STRIPPER</t>
  </si>
  <si>
    <t>3/4 AL RGD T COND BODY</t>
  </si>
  <si>
    <t>1IN AL RGD T COND BODY</t>
  </si>
  <si>
    <t>10-8 BLUE COP C-TAP</t>
  </si>
  <si>
    <t>8-6 GREY COP C-TAP</t>
  </si>
  <si>
    <t>TAP</t>
  </si>
  <si>
    <t>CCA STANDALONE UNIT</t>
  </si>
  <si>
    <t>CCA KIT, OUTDOOR ENCLOSURE</t>
  </si>
  <si>
    <t>TS4-A-O, 700W, 1500VUL 1.2M</t>
  </si>
  <si>
    <t>TSI-7.6K-US W/ 7.6KW WH BACKUP</t>
  </si>
  <si>
    <t>TSI-11.4K-US W/ WH 10KW BACKUP</t>
  </si>
  <si>
    <t>335W BLK 120C 35MM (31) [806]</t>
  </si>
  <si>
    <t>360W 132HC BOB</t>
  </si>
  <si>
    <t>365W 132HC BOB</t>
  </si>
  <si>
    <t>390 BLK 120C 30MM (36) [828]</t>
  </si>
  <si>
    <t>VERTEX S, BOT 390W (30MM)</t>
  </si>
  <si>
    <t>BLK 21" 175 TENSILE ZIP-TIE (25)</t>
  </si>
  <si>
    <t>BLK 12" 50 TENSILE ZIP-TIE (100)</t>
  </si>
  <si>
    <t>UTILITY GLOVES - S</t>
  </si>
  <si>
    <t>ULINE UTILITY GOLVES - GRAY XL</t>
  </si>
  <si>
    <t>UTILITY GLOVES - L</t>
  </si>
  <si>
    <t>UTILITY GLOVES - M</t>
  </si>
  <si>
    <t>INDUSTRIAL CHALK, WHT (72)</t>
  </si>
  <si>
    <t>#12-14 X 2.50 SCREW HDW SS SD</t>
  </si>
  <si>
    <t>FLASHKIT PRO, DARK (10)</t>
  </si>
  <si>
    <t>FLASHKIT PRO, MILL (10)</t>
  </si>
  <si>
    <t>FLASHLOC BLK (20) [2520]</t>
  </si>
  <si>
    <t>FLASHLOC, MILL (20) [2520]</t>
  </si>
  <si>
    <t>FLASHKIT SFM TRIM DRK (10)</t>
  </si>
  <si>
    <t>FLASHKIT SFM SLIDER COMP DRK (10)</t>
  </si>
  <si>
    <t>FLASHKIT SRM SLDR S COMP DRK (10)</t>
  </si>
  <si>
    <t>FLASHLOC DUO DARK</t>
  </si>
  <si>
    <t>FLASHLOC DUO MILL</t>
  </si>
  <si>
    <t>4" MILL STANDOFF [2PCS] (24/BX)</t>
  </si>
  <si>
    <t>6" MILL STANDOFF [2PCS] (24/BX)</t>
  </si>
  <si>
    <t>FLASHKIT TR FLAT-TILE MILL</t>
  </si>
  <si>
    <t>S-TILE REPLACE FLASH (10)</t>
  </si>
  <si>
    <t>FLASHKIT TR W-TILE MILL</t>
  </si>
  <si>
    <t>SFM N/S BONDING CLAMP (20)</t>
  </si>
  <si>
    <t>GRND WEEBLUG #1 (20/BX)</t>
  </si>
  <si>
    <t>ILSCO LAY IN LUG {GBL4DBT} (20)</t>
  </si>
  <si>
    <t>MICRO-INVERTER BOLT (20/BX)</t>
  </si>
  <si>
    <t>WIRE BND CLIP (10)</t>
  </si>
  <si>
    <t>E-BOSS BRIDGE TRAY</t>
  </si>
  <si>
    <t>E-BOSS J-BOX MOUNTING BRACKET</t>
  </si>
  <si>
    <t>E-BOSS RAIL TRAY</t>
  </si>
  <si>
    <t>SFM TRIM BONDING CLAMP (10)</t>
  </si>
  <si>
    <t>MLPE MOUNT ASSY (10)</t>
  </si>
  <si>
    <t>3/4" LONG, 3/8" BND TBOLT, (20)</t>
  </si>
  <si>
    <t>1" LONG, 3/8" BND TBOLT, (20)</t>
  </si>
  <si>
    <t>NXT HORIZON RAIL - 168" DARK</t>
  </si>
  <si>
    <t>NXT HORIZON RAIL - 168" MILL</t>
  </si>
  <si>
    <t>SM TRIM 168" DRK</t>
  </si>
  <si>
    <t>SFM SPLICE 6.5" (10)</t>
  </si>
  <si>
    <t>SFM MICRORAIL 2" (10)</t>
  </si>
  <si>
    <t>SFM TRIMRAIL UNIV CLIP (10)</t>
  </si>
  <si>
    <t>SFM TRIMRAIL UNIV CLIP W/HDW</t>
  </si>
  <si>
    <t>SFM TRIM SPLICE DRK (10)</t>
  </si>
  <si>
    <t>SFM TRIM END CAPS (10)</t>
  </si>
  <si>
    <t>SFM SPLICE 6.5" 30MM</t>
  </si>
  <si>
    <t>SFM ATTACHED SPLICE 8" 30MM</t>
  </si>
  <si>
    <t>72" NEW STYLE TRIM RAIL (4) [480]</t>
  </si>
  <si>
    <t>SFM UNIV TRIMRAIL 66.25", DRK (4)</t>
  </si>
  <si>
    <t>SM DRK END "C", 33 - 36MM (20)</t>
  </si>
  <si>
    <t>SM DRK MID "DK", 38 - 41MM (20)</t>
  </si>
  <si>
    <t>SM PRO MID CLAMP, DRK (20)</t>
  </si>
  <si>
    <t>SM PRO MID CLAMP, MIL (20)</t>
  </si>
  <si>
    <t>SM PRO UNIVRSL END (4) [100]</t>
  </si>
  <si>
    <t>UAF BLK MID CLAMP, 30-46MM (20)</t>
  </si>
  <si>
    <t>UAF MILL MID CLAMP, 30-46MM (20)</t>
  </si>
  <si>
    <t>UAF BLK END CLAMP, 30-46MM (20)</t>
  </si>
  <si>
    <t>UAF MILL END CLAMP, 30-46MM (20)</t>
  </si>
  <si>
    <t>BND SPLC BAR PRO, DRK (20)</t>
  </si>
  <si>
    <t>BND SPLICE BAR PRO, MILL (20)</t>
  </si>
  <si>
    <t>L-FOOT W/T-BOLT, CLR (20)</t>
  </si>
  <si>
    <t>L-FOOT W/TBOLT, DRK (20)</t>
  </si>
  <si>
    <t>SM RAIL END CAP, PRO UV-BLK (4)</t>
  </si>
  <si>
    <t>FLASHLOC RM KIT 10 PK</t>
  </si>
  <si>
    <t>168" SM RAIL LIGHT, DRK [144]</t>
  </si>
  <si>
    <t>168" SM RAIL LIGHT, MILL [144]</t>
  </si>
  <si>
    <t>168" SM RAIL STNDRD, MILL [144]</t>
  </si>
  <si>
    <t>NXT HORIZON COMBO CLAMP - DARK</t>
  </si>
  <si>
    <t>NXT HORIZON RL &amp; CLMP CAP KIT</t>
  </si>
  <si>
    <t>NXT HORIZON MLPE &amp; LUG CLAMP</t>
  </si>
  <si>
    <t>NXT HORIZON RAIL SPLICE</t>
  </si>
  <si>
    <t>STRONGHOLD ATT /W BUTYL MILL 20/P</t>
  </si>
  <si>
    <t>STRONGHOLD RAIL CLAMP DRK</t>
  </si>
  <si>
    <t>STRONGHOLD RAIL CLAMP MILL</t>
  </si>
  <si>
    <t>STRONGHOLD ATT KIT COMP DRK</t>
  </si>
  <si>
    <t>STRONGHOLD ATT KIT COMP MILL</t>
  </si>
  <si>
    <t>SOLOBOX JBOX W/ DIN RL (8) [192]</t>
  </si>
  <si>
    <t>NXT HORIZON WIRE MGMT CLIP</t>
  </si>
  <si>
    <t>NXT HORIZON NS WIRE MGMT CLIP</t>
  </si>
  <si>
    <t>EXTRA BUTYL PAD - SH, KIT</t>
  </si>
  <si>
    <t>STC 440W BLK 144C 35MM (31) [682]</t>
  </si>
  <si>
    <t>STC 365W BLK 120C 35MM (27) [806]</t>
  </si>
  <si>
    <t>400W BLK 108C 35MM (31) [806]</t>
  </si>
  <si>
    <t>445W BLK 120C 35MM (31) [744]</t>
  </si>
  <si>
    <t>370W 120 HC BLK</t>
  </si>
  <si>
    <t>400W 108 HC BLK/BLK</t>
  </si>
  <si>
    <t>450W BIFACIAL</t>
  </si>
  <si>
    <t>K194-4045 2-WIRE SPLICE CONN [50]</t>
  </si>
  <si>
    <t>K194-4045 3-WIRE SPLICE CONN [30]</t>
  </si>
  <si>
    <t>K194-4045 5-WIRE SPLICE CONN [15]</t>
  </si>
  <si>
    <t xml:space="preserve"> PULSAR PLUS  9.6KW/40A [42]</t>
  </si>
  <si>
    <t>PULSAR PLUS 11.5KHW/48A</t>
  </si>
  <si>
    <t>WD-40 12OZ SMART STRAW 12PK</t>
  </si>
  <si>
    <t>WEEB LUG ASSEMBLED</t>
  </si>
  <si>
    <t>18 16STR MTW/TEW TIN BLACK 500</t>
  </si>
  <si>
    <t>12/2C VNTC N/S E2 600V TC FLAT</t>
  </si>
  <si>
    <t>VNTC, 600V RS485 COMPATIBLE</t>
  </si>
  <si>
    <t>18/4 VNTC, 600V RS485</t>
  </si>
  <si>
    <t>4AWG SOLID BARE (200')</t>
  </si>
  <si>
    <t>6AWG SOLID BARE (315')</t>
  </si>
  <si>
    <t>8AWG SOLID BARE (500')</t>
  </si>
  <si>
    <t>18AWG 600V/1000V  TWIS BL/WH (CT)</t>
  </si>
  <si>
    <t>10-2C SOL WG THHN MCA BULK</t>
  </si>
  <si>
    <t>10-3C SOL WG THHN MCA 250' CL</t>
  </si>
  <si>
    <t>10/2 ROMEX COIL, INDOOR [250]</t>
  </si>
  <si>
    <t>10/3 ROMEX COIL, INDOOR [250]</t>
  </si>
  <si>
    <t>ROMEX WITH GROUND [1000] SPOOL</t>
  </si>
  <si>
    <t>12/2 ROMEX COIL, INDOOR [250]</t>
  </si>
  <si>
    <t>NM-B-14/2-CU-WG-250CL</t>
  </si>
  <si>
    <t>4-3 CU NM-B WITH GROUND</t>
  </si>
  <si>
    <t>THHN 1/0 BLACK (500')</t>
  </si>
  <si>
    <t>THHN/THWN-2 #10 AWG STR BLK(500')</t>
  </si>
  <si>
    <t>THHN/THWN-2 #10 AWG STR GRN(500')</t>
  </si>
  <si>
    <t>THHN/THWN-2 #10 AWG STR RED(500')</t>
  </si>
  <si>
    <t>THHN/THWN-2 #10 AWG STR WHT(500')</t>
  </si>
  <si>
    <t>THHN-12 BLK (500')</t>
  </si>
  <si>
    <t>THHN-12-BLU-19STR-CU-4@500CN</t>
  </si>
  <si>
    <t>THHN-12 GRN (500')</t>
  </si>
  <si>
    <t>THHN-12 RED (500')</t>
  </si>
  <si>
    <t>THHN-12 WHT (500')</t>
  </si>
  <si>
    <t>THHN-14 BLACK (500)</t>
  </si>
  <si>
    <t>THHN-14 GREEN (500')</t>
  </si>
  <si>
    <t>THHN-14 WHITE (500')</t>
  </si>
  <si>
    <t>THHN-1 BLACK (500')</t>
  </si>
  <si>
    <t>THHN-2/0-BLK-19STR-CU-500R</t>
  </si>
  <si>
    <t>THHN-2 BLACK (500')</t>
  </si>
  <si>
    <t>THHN-3/0 BLACK (500')</t>
  </si>
  <si>
    <t>THHN-3 BLACK (500')</t>
  </si>
  <si>
    <t>THHN-3 WHITE (500")</t>
  </si>
  <si>
    <t>THHN-4 BLACK (500')</t>
  </si>
  <si>
    <t>THHN-4 GREEN (500')</t>
  </si>
  <si>
    <t>THHN-4 RED (500')</t>
  </si>
  <si>
    <t>THHN-4 WHITE (500')</t>
  </si>
  <si>
    <t>THHN-6 BLACK (500')</t>
  </si>
  <si>
    <t>THHN-6 GREEN (500')</t>
  </si>
  <si>
    <t>THHN-6 RED (500')</t>
  </si>
  <si>
    <t>THHN-6 WHITE (500')</t>
  </si>
  <si>
    <t>THHN-8 BLACK (500')</t>
  </si>
  <si>
    <t>THHN-8 GREEN (500')</t>
  </si>
  <si>
    <t>THHN-8 RED (500')</t>
  </si>
  <si>
    <t>THHN-8 WHITE (500')</t>
  </si>
  <si>
    <t>12/2 UFB COIL, OUTDOOR [250]</t>
  </si>
  <si>
    <t>2/0WELD BK 105 BULK(BATTERY JOBS)</t>
  </si>
  <si>
    <t>4 WELD BK 105 500' (BATTERY JOBS)</t>
  </si>
  <si>
    <t>4 WELD RD 105 BULK (BATTERY JOBS)</t>
  </si>
  <si>
    <t>2' MC4 JUMPER</t>
  </si>
  <si>
    <t>BLK 10AWG 2KV PV WIRE (500')</t>
  </si>
  <si>
    <t>RED 10AWG 2KV PV WIRE (500')</t>
  </si>
  <si>
    <t>PV WIRE 600V (500)</t>
  </si>
  <si>
    <t>PV 600V (500)</t>
  </si>
  <si>
    <t>.75" SOLARMNT PASSTHRU KIT (30)</t>
  </si>
  <si>
    <t>DNA-120-BF10-440W</t>
  </si>
  <si>
    <t>CS6R-395MS-HL</t>
  </si>
  <si>
    <t>CPPP10</t>
  </si>
  <si>
    <t>CPPP10-1/2</t>
  </si>
  <si>
    <t>CPPP11-1/2</t>
  </si>
  <si>
    <t>CPPP12</t>
  </si>
  <si>
    <t>CPPP9-1/2</t>
  </si>
  <si>
    <t>B10-C-1050-O</t>
  </si>
  <si>
    <t>ENCHARGE-10 COVER KIT</t>
  </si>
  <si>
    <t>T50I0UVC48</t>
  </si>
  <si>
    <t>T50I0UVC58</t>
  </si>
  <si>
    <t>T50I0UVC62</t>
  </si>
  <si>
    <t>(Substitute for EZSLR JB3)</t>
  </si>
  <si>
    <t>****Shop Stock*****</t>
  </si>
  <si>
    <t xml:space="preserve"> </t>
  </si>
  <si>
    <t>3/4 EMT-FMC COUPLING</t>
  </si>
  <si>
    <t>CANADIAN SOLAR 395</t>
  </si>
  <si>
    <t>12 SPACE NEMA3R 125A MLO</t>
  </si>
  <si>
    <t>screws for feet</t>
  </si>
  <si>
    <t>Foot</t>
  </si>
  <si>
    <t>T bolts for Rail (same as feet)</t>
  </si>
  <si>
    <t>IPC250-4/0</t>
  </si>
  <si>
    <t/>
  </si>
  <si>
    <t>(# of feet x2+40)</t>
  </si>
  <si>
    <t>Ends for landscape Trina modules</t>
  </si>
  <si>
    <t xml:space="preserve">ENPHASE </t>
  </si>
  <si>
    <t>SC200D111C240US01</t>
  </si>
  <si>
    <t>SYSTEM CONTROLLER 3</t>
  </si>
  <si>
    <t>X-IQ-AM1-240-5</t>
  </si>
  <si>
    <t>COMBINER 5</t>
  </si>
  <si>
    <t>IQBATTERY-5P-1P-NA</t>
  </si>
  <si>
    <t>IQ BATTERY 5P</t>
  </si>
  <si>
    <t>CTRL-SC3-NA-01</t>
  </si>
  <si>
    <t>ENPHASE CONTROL CABLE</t>
  </si>
  <si>
    <t>315168M-US</t>
  </si>
  <si>
    <t>303019M-US</t>
  </si>
  <si>
    <t>168" SM RAIL LIGHT DOM, MILL [144]</t>
  </si>
  <si>
    <t>BND SPLICE BAR PRO DOM, MILL (20)</t>
  </si>
  <si>
    <t>MILL MID CLAMP DOM, 30MM (20)</t>
  </si>
  <si>
    <t>MILL END CLAMP DOM, 30MM (20)</t>
  </si>
  <si>
    <t>302327D-US</t>
  </si>
  <si>
    <t>302021D-US</t>
  </si>
  <si>
    <t>TSM-420-NE09RC.05</t>
  </si>
  <si>
    <t>420W Trina</t>
  </si>
  <si>
    <t>ECOFASTEN</t>
  </si>
  <si>
    <t xml:space="preserve">ECOFASTEN </t>
  </si>
  <si>
    <t>CF STD US RAIL AL MILL 171.5"</t>
  </si>
  <si>
    <t>CF RAIL SPLICE SS US HYBRID</t>
  </si>
  <si>
    <t>CF US END CLAMP AL BLK 30-40MM</t>
  </si>
  <si>
    <t>CF US MID CLAMP AL BLK 30-40MM</t>
  </si>
  <si>
    <t>CF MLPE US MOUNT AL MLL US HYBRID</t>
  </si>
  <si>
    <t>MODULE JUMPER 8"</t>
  </si>
  <si>
    <t>CF SMART FOOT W/ CLKR AL MILL</t>
  </si>
  <si>
    <t>SCREW #14X3" W/BW</t>
  </si>
  <si>
    <t>CF END CAP PLS BLK</t>
  </si>
  <si>
    <t xml:space="preserve"> ILSCO</t>
  </si>
  <si>
    <t>SGB4</t>
  </si>
  <si>
    <t>GROUNDING LUG</t>
  </si>
  <si>
    <t>ONE PER CONTINUOUS ARRAY</t>
  </si>
  <si>
    <t>CHANGE TO MSX10-435HN0B</t>
  </si>
  <si>
    <t>Swap for DCA USE11400H-USSKBEZ8</t>
  </si>
  <si>
    <t>Swap For U650</t>
  </si>
  <si>
    <t>Q.MI.349B-G1 QCELL MICROINVERTER</t>
  </si>
  <si>
    <t>Q.Home Combiner 80 G1</t>
  </si>
  <si>
    <t>LTE-MT-MODEM CAT4-TN5 CELL MODEM</t>
  </si>
  <si>
    <t>QCELL AC CABLE LANDSCAPE</t>
  </si>
  <si>
    <t>QCELL RAW CABLE</t>
  </si>
  <si>
    <t>QCELL AC FIELD WIREABLE SET M/F</t>
  </si>
  <si>
    <t xml:space="preserve">QCELL AC CABLE TERM CAP </t>
  </si>
  <si>
    <t>CT-HQ-SOLID-200A-2 m</t>
  </si>
  <si>
    <t>Q.MI.349B-G1</t>
  </si>
  <si>
    <t>SPCD-00001</t>
  </si>
  <si>
    <t>SBED-00046</t>
  </si>
  <si>
    <t>CAS-HQ-LO-1000</t>
  </si>
  <si>
    <t>CAB-HQ-KIT-200</t>
  </si>
  <si>
    <t>CON-HQ-KIT-20</t>
  </si>
  <si>
    <t>ECAP-HQ-KIT-20</t>
  </si>
  <si>
    <t>QHOME PRODUCTION CT</t>
  </si>
  <si>
    <t>Q.TRON BLK M-G2.C1+ 430</t>
  </si>
  <si>
    <t>151 Borland St, Brooksville, FL, 34604</t>
  </si>
  <si>
    <t>Palmetto</t>
  </si>
  <si>
    <t>Davesky Aragones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</si>
</sst>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Microsoft Sans Serif"/>
      <family val="2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Microsoft Sans Serif"/>
      <family val="2"/>
    </font>
    <font>
      <sz val="10"/>
      <color rgb="FF000000"/>
      <name val="Microsoft Sans Serif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rgb="FF548135"/>
      </patternFill>
    </fill>
    <fill>
      <patternFill patternType="solid">
        <fgColor theme="7" tint="0.79998168889431442"/>
        <bgColor rgb="FF548135"/>
      </patternFill>
    </fill>
    <fill>
      <patternFill patternType="solid">
        <fgColor rgb="FFFFCCFF"/>
        <bgColor rgb="FF548135"/>
      </patternFill>
    </fill>
    <fill>
      <patternFill patternType="solid">
        <fgColor theme="4" tint="0.79998168889431442"/>
        <bgColor rgb="FF548135"/>
      </patternFill>
    </fill>
    <fill>
      <patternFill patternType="solid">
        <fgColor theme="2" tint="-9.9978637043366805E-2"/>
        <bgColor rgb="FF548135"/>
      </patternFill>
    </fill>
    <fill>
      <patternFill patternType="solid">
        <fgColor theme="9" tint="0.79998168889431442"/>
        <bgColor rgb="FF548135"/>
      </patternFill>
    </fill>
    <fill>
      <patternFill patternType="solid">
        <fgColor theme="5" tint="0.79998168889431442"/>
        <bgColor rgb="FF548135"/>
      </patternFill>
    </fill>
    <fill>
      <patternFill patternType="solid">
        <fgColor theme="9" tint="0.79998168889431442"/>
        <bgColor theme="5" tint="0.79998168889431442"/>
      </patternFill>
    </fill>
    <fill>
      <patternFill patternType="solid">
        <fgColor theme="0" tint="-0.14999847407452621"/>
        <bgColor theme="5" tint="0.79998168889431442"/>
      </patternFill>
    </fill>
    <fill>
      <patternFill patternType="solid">
        <fgColor theme="4" tint="0.79998168889431442"/>
        <bgColor theme="5" tint="0.79998168889431442"/>
      </patternFill>
    </fill>
    <fill>
      <patternFill patternType="solid">
        <fgColor rgb="FFFFCCFF"/>
        <bgColor theme="5" tint="0.79998168889431442"/>
      </patternFill>
    </fill>
    <fill>
      <patternFill patternType="solid">
        <fgColor theme="7" tint="0.79998168889431442"/>
        <bgColor theme="5" tint="0.79998168889431442"/>
      </patternFill>
    </fill>
    <fill>
      <patternFill patternType="solid">
        <fgColor rgb="FFCCCCFF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F0F0F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17" borderId="1" xfId="0" applyFont="1" applyFill="1" applyBorder="1" applyAlignment="1">
      <alignment horizontal="right" vertical="center" wrapText="1"/>
    </xf>
    <xf numFmtId="0" fontId="5" fillId="18" borderId="1" xfId="0" applyFont="1" applyFill="1" applyBorder="1" applyAlignment="1">
      <alignment horizontal="right" vertical="center" wrapText="1"/>
    </xf>
    <xf numFmtId="0" fontId="5" fillId="19" borderId="1" xfId="0" applyFont="1" applyFill="1" applyBorder="1" applyAlignment="1">
      <alignment horizontal="right" vertical="center" wrapText="1"/>
    </xf>
    <xf numFmtId="0" fontId="5" fillId="20" borderId="1" xfId="0" applyFont="1" applyFill="1" applyBorder="1" applyAlignment="1">
      <alignment horizontal="right" vertical="center" wrapText="1"/>
    </xf>
    <xf numFmtId="0" fontId="5" fillId="21" borderId="1" xfId="0" applyFont="1" applyFill="1" applyBorder="1" applyAlignment="1">
      <alignment horizontal="right" vertical="center" wrapText="1"/>
    </xf>
    <xf numFmtId="0" fontId="5" fillId="22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5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0" fontId="8" fillId="6" borderId="1" xfId="0" applyFont="1" applyFill="1" applyBorder="1"/>
    <xf numFmtId="49" fontId="8" fillId="6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left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left"/>
    </xf>
    <xf numFmtId="0" fontId="5" fillId="8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horizontal="left"/>
    </xf>
    <xf numFmtId="0" fontId="8" fillId="9" borderId="1" xfId="0" applyFont="1" applyFill="1" applyBorder="1"/>
    <xf numFmtId="49" fontId="5" fillId="23" borderId="1" xfId="0" applyNumberFormat="1" applyFont="1" applyFill="1" applyBorder="1" applyAlignment="1">
      <alignment horizontal="left"/>
    </xf>
    <xf numFmtId="0" fontId="8" fillId="23" borderId="1" xfId="0" applyFont="1" applyFill="1" applyBorder="1"/>
    <xf numFmtId="0" fontId="8" fillId="23" borderId="1" xfId="0" applyFont="1" applyFill="1" applyBorder="1" applyAlignment="1">
      <alignment horizontal="left"/>
    </xf>
    <xf numFmtId="0" fontId="5" fillId="24" borderId="1" xfId="0" applyFont="1" applyFill="1" applyBorder="1"/>
    <xf numFmtId="0" fontId="8" fillId="24" borderId="1" xfId="0" applyFont="1" applyFill="1" applyBorder="1"/>
    <xf numFmtId="49" fontId="5" fillId="25" borderId="1" xfId="0" applyNumberFormat="1" applyFont="1" applyFill="1" applyBorder="1" applyAlignment="1">
      <alignment horizontal="left"/>
    </xf>
    <xf numFmtId="0" fontId="8" fillId="25" borderId="1" xfId="0" applyFont="1" applyFill="1" applyBorder="1"/>
    <xf numFmtId="49" fontId="5" fillId="26" borderId="1" xfId="0" applyNumberFormat="1" applyFont="1" applyFill="1" applyBorder="1" applyAlignment="1">
      <alignment horizontal="left"/>
    </xf>
    <xf numFmtId="0" fontId="8" fillId="26" borderId="1" xfId="0" applyFont="1" applyFill="1" applyBorder="1"/>
    <xf numFmtId="0" fontId="8" fillId="27" borderId="1" xfId="0" applyFont="1" applyFill="1" applyBorder="1"/>
    <xf numFmtId="0" fontId="8" fillId="26" borderId="1" xfId="0" applyFont="1" applyFill="1" applyBorder="1" applyAlignment="1">
      <alignment horizontal="left"/>
    </xf>
    <xf numFmtId="49" fontId="5" fillId="28" borderId="1" xfId="0" applyNumberFormat="1" applyFont="1" applyFill="1" applyBorder="1" applyAlignment="1">
      <alignment horizontal="left"/>
    </xf>
    <xf numFmtId="0" fontId="8" fillId="28" borderId="1" xfId="0" applyFont="1" applyFill="1" applyBorder="1"/>
    <xf numFmtId="0" fontId="8" fillId="28" borderId="1" xfId="0" applyFont="1" applyFill="1" applyBorder="1" applyAlignment="1">
      <alignment horizontal="left"/>
    </xf>
    <xf numFmtId="0" fontId="5" fillId="23" borderId="1" xfId="0" applyFont="1" applyFill="1" applyBorder="1" applyAlignment="1">
      <alignment horizontal="right" vertical="center" wrapText="1"/>
    </xf>
    <xf numFmtId="0" fontId="0" fillId="23" borderId="0" xfId="0" applyFill="1"/>
    <xf numFmtId="0" fontId="5" fillId="29" borderId="1" xfId="0" applyFont="1" applyFill="1" applyBorder="1"/>
    <xf numFmtId="0" fontId="8" fillId="29" borderId="1" xfId="0" applyFont="1" applyFill="1" applyBorder="1"/>
    <xf numFmtId="0" fontId="8" fillId="29" borderId="1" xfId="0" applyFont="1" applyFill="1" applyBorder="1" applyAlignment="1">
      <alignment horizontal="left"/>
    </xf>
    <xf numFmtId="0" fontId="8" fillId="25" borderId="1" xfId="0" applyFont="1" applyFill="1" applyBorder="1" applyAlignment="1">
      <alignment horizontal="left"/>
    </xf>
    <xf numFmtId="0" fontId="11" fillId="30" borderId="12" xfId="0" applyFont="1" applyFill="1" applyBorder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23" borderId="1" xfId="0" applyFont="1" applyFill="1" applyBorder="1" applyAlignment="1">
      <alignment horizontal="center" vertical="top"/>
    </xf>
    <xf numFmtId="49" fontId="8" fillId="4" borderId="1" xfId="0" applyNumberFormat="1" applyFont="1" applyFill="1" applyBorder="1"/>
    <xf numFmtId="0" fontId="10" fillId="0" borderId="0" xfId="0" applyFont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5" fillId="31" borderId="1" xfId="0" applyFont="1" applyFill="1" applyBorder="1"/>
    <xf numFmtId="49" fontId="8" fillId="31" borderId="1" xfId="0" applyNumberFormat="1" applyFont="1" applyFill="1" applyBorder="1" applyAlignment="1">
      <alignment horizontal="left"/>
    </xf>
    <xf numFmtId="0" fontId="8" fillId="31" borderId="1" xfId="0" applyFont="1" applyFill="1" applyBorder="1"/>
    <xf numFmtId="0" fontId="5" fillId="31" borderId="1" xfId="0" applyFont="1" applyFill="1" applyBorder="1" applyAlignment="1">
      <alignment horizontal="right" vertical="center" wrapText="1"/>
    </xf>
    <xf numFmtId="0" fontId="8" fillId="31" borderId="1" xfId="0" applyFont="1" applyFill="1" applyBorder="1" applyAlignment="1">
      <alignment horizontal="left"/>
    </xf>
    <xf numFmtId="0" fontId="5" fillId="26" borderId="1" xfId="0" applyFont="1" applyFill="1" applyBorder="1" applyAlignment="1">
      <alignment horizontal="right" vertical="center" wrapText="1"/>
    </xf>
    <xf numFmtId="49" fontId="8" fillId="26" borderId="1" xfId="0" applyNumberFormat="1" applyFont="1" applyFill="1" applyBorder="1" applyAlignment="1">
      <alignment horizontal="left"/>
    </xf>
    <xf numFmtId="0" fontId="0" fillId="31" borderId="0" xfId="0" applyFill="1"/>
    <xf numFmtId="49" fontId="5" fillId="32" borderId="1" xfId="0" applyNumberFormat="1" applyFont="1" applyFill="1" applyBorder="1" applyAlignment="1">
      <alignment horizontal="left"/>
    </xf>
    <xf numFmtId="0" fontId="8" fillId="32" borderId="1" xfId="0" applyFont="1" applyFill="1" applyBorder="1"/>
    <xf numFmtId="49" fontId="8" fillId="32" borderId="1" xfId="0" applyNumberFormat="1" applyFont="1" applyFill="1" applyBorder="1" applyAlignment="1">
      <alignment horizontal="left"/>
    </xf>
    <xf numFmtId="0" fontId="5" fillId="32" borderId="1" xfId="0" applyFont="1" applyFill="1" applyBorder="1" applyAlignment="1">
      <alignment horizontal="right" vertical="center" wrapText="1"/>
    </xf>
    <xf numFmtId="0" fontId="8" fillId="32" borderId="1" xfId="0" applyFont="1" applyFill="1" applyBorder="1" applyAlignment="1">
      <alignment horizontal="left"/>
    </xf>
    <xf numFmtId="0" fontId="12" fillId="0" borderId="0" xfId="0" applyFont="1"/>
    <xf numFmtId="0" fontId="8" fillId="26" borderId="1" xfId="0" applyFont="1" applyFill="1" applyBorder="1" applyAlignment="1">
      <alignment wrapText="1"/>
    </xf>
    <xf numFmtId="0" fontId="7" fillId="12" borderId="2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7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fill>
        <patternFill>
          <bgColor rgb="FFCCCCFF"/>
        </patternFill>
      </fill>
    </dxf>
    <dxf>
      <fill>
        <patternFill>
          <bgColor rgb="FFFFCCFF"/>
        </patternFill>
      </fill>
    </dxf>
    <dxf>
      <fill>
        <patternFill>
          <bgColor rgb="FFFF99CC"/>
        </patternFill>
      </fill>
    </dxf>
  </dxfs>
  <tableStyles count="3" defaultTableStyle="TableStyleMedium2" defaultPivotStyle="PivotStyleLight16">
    <tableStyle name="Table Style 1" pivot="0" count="1" xr9:uid="{00000000-0011-0000-FFFF-FFFF00000000}">
      <tableStyleElement type="firstRowStripe" dxfId="30"/>
    </tableStyle>
    <tableStyle name="Table Style 2" pivot="0" count="1" xr9:uid="{00000000-0011-0000-FFFF-FFFF01000000}">
      <tableStyleElement type="firstRowStripe" dxfId="29"/>
    </tableStyle>
    <tableStyle name="Table Style 3" pivot="0" count="1" xr9:uid="{00000000-0011-0000-FFFF-FFFF02000000}">
      <tableStyleElement type="firstRowStripe" dxfId="28"/>
    </tableStyle>
  </tableStyles>
  <colors>
    <mruColors>
      <color rgb="FFCCCCFF"/>
      <color rgb="FFFFCCFF"/>
      <color rgb="FFFF99CC"/>
      <color rgb="FFFF9999"/>
      <color rgb="FFFF993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>
      <selection activeCell="D4" sqref="D4"/>
    </sheetView>
  </sheetViews>
  <sheetFormatPr defaultRowHeight="15" x14ac:dyDescent="0.25"/>
  <cols>
    <col min="1" max="1" width="25.5703125" customWidth="1"/>
    <col min="2" max="2" width="28.140625" customWidth="1"/>
    <col min="3" max="3" width="19.85546875" customWidth="1"/>
    <col min="4" max="4" width="16.140625" customWidth="1"/>
    <col min="5" max="5" width="11" customWidth="1"/>
    <col min="6" max="6" width="15.7109375" customWidth="1"/>
    <col min="7" max="7" width="33.7109375" customWidth="1"/>
    <col min="8" max="8" width="10.7109375" customWidth="1"/>
    <col min="13" max="13" width="23" customWidth="1"/>
    <col min="14" max="14" width="18.7109375" customWidth="1"/>
    <col min="257" max="257" width="10.7109375" customWidth="1"/>
    <col min="258" max="258" width="11" customWidth="1"/>
    <col min="259" max="259" width="19.85546875" customWidth="1"/>
    <col min="260" max="260" width="16.140625" customWidth="1"/>
    <col min="262" max="262" width="12.42578125" customWidth="1"/>
    <col min="263" max="263" width="24.140625" customWidth="1"/>
    <col min="264" max="264" width="10.7109375" customWidth="1"/>
    <col min="269" max="269" width="23" customWidth="1"/>
    <col min="270" max="270" width="18.7109375" customWidth="1"/>
    <col min="513" max="513" width="10.7109375" customWidth="1"/>
    <col min="514" max="514" width="11" customWidth="1"/>
    <col min="515" max="515" width="19.85546875" customWidth="1"/>
    <col min="516" max="516" width="16.140625" customWidth="1"/>
    <col min="518" max="518" width="12.42578125" customWidth="1"/>
    <col min="519" max="519" width="24.140625" customWidth="1"/>
    <col min="520" max="520" width="10.7109375" customWidth="1"/>
    <col min="525" max="525" width="23" customWidth="1"/>
    <col min="526" max="526" width="18.7109375" customWidth="1"/>
    <col min="769" max="769" width="10.7109375" customWidth="1"/>
    <col min="770" max="770" width="11" customWidth="1"/>
    <col min="771" max="771" width="19.85546875" customWidth="1"/>
    <col min="772" max="772" width="16.140625" customWidth="1"/>
    <col min="774" max="774" width="12.42578125" customWidth="1"/>
    <col min="775" max="775" width="24.140625" customWidth="1"/>
    <col min="776" max="776" width="10.7109375" customWidth="1"/>
    <col min="781" max="781" width="23" customWidth="1"/>
    <col min="782" max="782" width="18.7109375" customWidth="1"/>
    <col min="1025" max="1025" width="10.7109375" customWidth="1"/>
    <col min="1026" max="1026" width="11" customWidth="1"/>
    <col min="1027" max="1027" width="19.85546875" customWidth="1"/>
    <col min="1028" max="1028" width="16.140625" customWidth="1"/>
    <col min="1030" max="1030" width="12.42578125" customWidth="1"/>
    <col min="1031" max="1031" width="24.140625" customWidth="1"/>
    <col min="1032" max="1032" width="10.7109375" customWidth="1"/>
    <col min="1037" max="1037" width="23" customWidth="1"/>
    <col min="1038" max="1038" width="18.7109375" customWidth="1"/>
    <col min="1281" max="1281" width="10.7109375" customWidth="1"/>
    <col min="1282" max="1282" width="11" customWidth="1"/>
    <col min="1283" max="1283" width="19.85546875" customWidth="1"/>
    <col min="1284" max="1284" width="16.140625" customWidth="1"/>
    <col min="1286" max="1286" width="12.42578125" customWidth="1"/>
    <col min="1287" max="1287" width="24.140625" customWidth="1"/>
    <col min="1288" max="1288" width="10.7109375" customWidth="1"/>
    <col min="1293" max="1293" width="23" customWidth="1"/>
    <col min="1294" max="1294" width="18.7109375" customWidth="1"/>
    <col min="1537" max="1537" width="10.7109375" customWidth="1"/>
    <col min="1538" max="1538" width="11" customWidth="1"/>
    <col min="1539" max="1539" width="19.85546875" customWidth="1"/>
    <col min="1540" max="1540" width="16.140625" customWidth="1"/>
    <col min="1542" max="1542" width="12.42578125" customWidth="1"/>
    <col min="1543" max="1543" width="24.140625" customWidth="1"/>
    <col min="1544" max="1544" width="10.7109375" customWidth="1"/>
    <col min="1549" max="1549" width="23" customWidth="1"/>
    <col min="1550" max="1550" width="18.7109375" customWidth="1"/>
    <col min="1793" max="1793" width="10.7109375" customWidth="1"/>
    <col min="1794" max="1794" width="11" customWidth="1"/>
    <col min="1795" max="1795" width="19.85546875" customWidth="1"/>
    <col min="1796" max="1796" width="16.140625" customWidth="1"/>
    <col min="1798" max="1798" width="12.42578125" customWidth="1"/>
    <col min="1799" max="1799" width="24.140625" customWidth="1"/>
    <col min="1800" max="1800" width="10.7109375" customWidth="1"/>
    <col min="1805" max="1805" width="23" customWidth="1"/>
    <col min="1806" max="1806" width="18.7109375" customWidth="1"/>
    <col min="2049" max="2049" width="10.7109375" customWidth="1"/>
    <col min="2050" max="2050" width="11" customWidth="1"/>
    <col min="2051" max="2051" width="19.85546875" customWidth="1"/>
    <col min="2052" max="2052" width="16.140625" customWidth="1"/>
    <col min="2054" max="2054" width="12.42578125" customWidth="1"/>
    <col min="2055" max="2055" width="24.140625" customWidth="1"/>
    <col min="2056" max="2056" width="10.7109375" customWidth="1"/>
    <col min="2061" max="2061" width="23" customWidth="1"/>
    <col min="2062" max="2062" width="18.7109375" customWidth="1"/>
    <col min="2305" max="2305" width="10.7109375" customWidth="1"/>
    <col min="2306" max="2306" width="11" customWidth="1"/>
    <col min="2307" max="2307" width="19.85546875" customWidth="1"/>
    <col min="2308" max="2308" width="16.140625" customWidth="1"/>
    <col min="2310" max="2310" width="12.42578125" customWidth="1"/>
    <col min="2311" max="2311" width="24.140625" customWidth="1"/>
    <col min="2312" max="2312" width="10.7109375" customWidth="1"/>
    <col min="2317" max="2317" width="23" customWidth="1"/>
    <col min="2318" max="2318" width="18.7109375" customWidth="1"/>
    <col min="2561" max="2561" width="10.7109375" customWidth="1"/>
    <col min="2562" max="2562" width="11" customWidth="1"/>
    <col min="2563" max="2563" width="19.85546875" customWidth="1"/>
    <col min="2564" max="2564" width="16.140625" customWidth="1"/>
    <col min="2566" max="2566" width="12.42578125" customWidth="1"/>
    <col min="2567" max="2567" width="24.140625" customWidth="1"/>
    <col min="2568" max="2568" width="10.7109375" customWidth="1"/>
    <col min="2573" max="2573" width="23" customWidth="1"/>
    <col min="2574" max="2574" width="18.7109375" customWidth="1"/>
    <col min="2817" max="2817" width="10.7109375" customWidth="1"/>
    <col min="2818" max="2818" width="11" customWidth="1"/>
    <col min="2819" max="2819" width="19.85546875" customWidth="1"/>
    <col min="2820" max="2820" width="16.140625" customWidth="1"/>
    <col min="2822" max="2822" width="12.42578125" customWidth="1"/>
    <col min="2823" max="2823" width="24.140625" customWidth="1"/>
    <col min="2824" max="2824" width="10.7109375" customWidth="1"/>
    <col min="2829" max="2829" width="23" customWidth="1"/>
    <col min="2830" max="2830" width="18.7109375" customWidth="1"/>
    <col min="3073" max="3073" width="10.7109375" customWidth="1"/>
    <col min="3074" max="3074" width="11" customWidth="1"/>
    <col min="3075" max="3075" width="19.85546875" customWidth="1"/>
    <col min="3076" max="3076" width="16.140625" customWidth="1"/>
    <col min="3078" max="3078" width="12.42578125" customWidth="1"/>
    <col min="3079" max="3079" width="24.140625" customWidth="1"/>
    <col min="3080" max="3080" width="10.7109375" customWidth="1"/>
    <col min="3085" max="3085" width="23" customWidth="1"/>
    <col min="3086" max="3086" width="18.7109375" customWidth="1"/>
    <col min="3329" max="3329" width="10.7109375" customWidth="1"/>
    <col min="3330" max="3330" width="11" customWidth="1"/>
    <col min="3331" max="3331" width="19.85546875" customWidth="1"/>
    <col min="3332" max="3332" width="16.140625" customWidth="1"/>
    <col min="3334" max="3334" width="12.42578125" customWidth="1"/>
    <col min="3335" max="3335" width="24.140625" customWidth="1"/>
    <col min="3336" max="3336" width="10.7109375" customWidth="1"/>
    <col min="3341" max="3341" width="23" customWidth="1"/>
    <col min="3342" max="3342" width="18.7109375" customWidth="1"/>
    <col min="3585" max="3585" width="10.7109375" customWidth="1"/>
    <col min="3586" max="3586" width="11" customWidth="1"/>
    <col min="3587" max="3587" width="19.85546875" customWidth="1"/>
    <col min="3588" max="3588" width="16.140625" customWidth="1"/>
    <col min="3590" max="3590" width="12.42578125" customWidth="1"/>
    <col min="3591" max="3591" width="24.140625" customWidth="1"/>
    <col min="3592" max="3592" width="10.7109375" customWidth="1"/>
    <col min="3597" max="3597" width="23" customWidth="1"/>
    <col min="3598" max="3598" width="18.7109375" customWidth="1"/>
    <col min="3841" max="3841" width="10.7109375" customWidth="1"/>
    <col min="3842" max="3842" width="11" customWidth="1"/>
    <col min="3843" max="3843" width="19.85546875" customWidth="1"/>
    <col min="3844" max="3844" width="16.140625" customWidth="1"/>
    <col min="3846" max="3846" width="12.42578125" customWidth="1"/>
    <col min="3847" max="3847" width="24.140625" customWidth="1"/>
    <col min="3848" max="3848" width="10.7109375" customWidth="1"/>
    <col min="3853" max="3853" width="23" customWidth="1"/>
    <col min="3854" max="3854" width="18.7109375" customWidth="1"/>
    <col min="4097" max="4097" width="10.7109375" customWidth="1"/>
    <col min="4098" max="4098" width="11" customWidth="1"/>
    <col min="4099" max="4099" width="19.85546875" customWidth="1"/>
    <col min="4100" max="4100" width="16.140625" customWidth="1"/>
    <col min="4102" max="4102" width="12.42578125" customWidth="1"/>
    <col min="4103" max="4103" width="24.140625" customWidth="1"/>
    <col min="4104" max="4104" width="10.7109375" customWidth="1"/>
    <col min="4109" max="4109" width="23" customWidth="1"/>
    <col min="4110" max="4110" width="18.7109375" customWidth="1"/>
    <col min="4353" max="4353" width="10.7109375" customWidth="1"/>
    <col min="4354" max="4354" width="11" customWidth="1"/>
    <col min="4355" max="4355" width="19.85546875" customWidth="1"/>
    <col min="4356" max="4356" width="16.140625" customWidth="1"/>
    <col min="4358" max="4358" width="12.42578125" customWidth="1"/>
    <col min="4359" max="4359" width="24.140625" customWidth="1"/>
    <col min="4360" max="4360" width="10.7109375" customWidth="1"/>
    <col min="4365" max="4365" width="23" customWidth="1"/>
    <col min="4366" max="4366" width="18.7109375" customWidth="1"/>
    <col min="4609" max="4609" width="10.7109375" customWidth="1"/>
    <col min="4610" max="4610" width="11" customWidth="1"/>
    <col min="4611" max="4611" width="19.85546875" customWidth="1"/>
    <col min="4612" max="4612" width="16.140625" customWidth="1"/>
    <col min="4614" max="4614" width="12.42578125" customWidth="1"/>
    <col min="4615" max="4615" width="24.140625" customWidth="1"/>
    <col min="4616" max="4616" width="10.7109375" customWidth="1"/>
    <col min="4621" max="4621" width="23" customWidth="1"/>
    <col min="4622" max="4622" width="18.7109375" customWidth="1"/>
    <col min="4865" max="4865" width="10.7109375" customWidth="1"/>
    <col min="4866" max="4866" width="11" customWidth="1"/>
    <col min="4867" max="4867" width="19.85546875" customWidth="1"/>
    <col min="4868" max="4868" width="16.140625" customWidth="1"/>
    <col min="4870" max="4870" width="12.42578125" customWidth="1"/>
    <col min="4871" max="4871" width="24.140625" customWidth="1"/>
    <col min="4872" max="4872" width="10.7109375" customWidth="1"/>
    <col min="4877" max="4877" width="23" customWidth="1"/>
    <col min="4878" max="4878" width="18.7109375" customWidth="1"/>
    <col min="5121" max="5121" width="10.7109375" customWidth="1"/>
    <col min="5122" max="5122" width="11" customWidth="1"/>
    <col min="5123" max="5123" width="19.85546875" customWidth="1"/>
    <col min="5124" max="5124" width="16.140625" customWidth="1"/>
    <col min="5126" max="5126" width="12.42578125" customWidth="1"/>
    <col min="5127" max="5127" width="24.140625" customWidth="1"/>
    <col min="5128" max="5128" width="10.7109375" customWidth="1"/>
    <col min="5133" max="5133" width="23" customWidth="1"/>
    <col min="5134" max="5134" width="18.7109375" customWidth="1"/>
    <col min="5377" max="5377" width="10.7109375" customWidth="1"/>
    <col min="5378" max="5378" width="11" customWidth="1"/>
    <col min="5379" max="5379" width="19.85546875" customWidth="1"/>
    <col min="5380" max="5380" width="16.140625" customWidth="1"/>
    <col min="5382" max="5382" width="12.42578125" customWidth="1"/>
    <col min="5383" max="5383" width="24.140625" customWidth="1"/>
    <col min="5384" max="5384" width="10.7109375" customWidth="1"/>
    <col min="5389" max="5389" width="23" customWidth="1"/>
    <col min="5390" max="5390" width="18.7109375" customWidth="1"/>
    <col min="5633" max="5633" width="10.7109375" customWidth="1"/>
    <col min="5634" max="5634" width="11" customWidth="1"/>
    <col min="5635" max="5635" width="19.85546875" customWidth="1"/>
    <col min="5636" max="5636" width="16.140625" customWidth="1"/>
    <col min="5638" max="5638" width="12.42578125" customWidth="1"/>
    <col min="5639" max="5639" width="24.140625" customWidth="1"/>
    <col min="5640" max="5640" width="10.7109375" customWidth="1"/>
    <col min="5645" max="5645" width="23" customWidth="1"/>
    <col min="5646" max="5646" width="18.7109375" customWidth="1"/>
    <col min="5889" max="5889" width="10.7109375" customWidth="1"/>
    <col min="5890" max="5890" width="11" customWidth="1"/>
    <col min="5891" max="5891" width="19.85546875" customWidth="1"/>
    <col min="5892" max="5892" width="16.140625" customWidth="1"/>
    <col min="5894" max="5894" width="12.42578125" customWidth="1"/>
    <col min="5895" max="5895" width="24.140625" customWidth="1"/>
    <col min="5896" max="5896" width="10.7109375" customWidth="1"/>
    <col min="5901" max="5901" width="23" customWidth="1"/>
    <col min="5902" max="5902" width="18.7109375" customWidth="1"/>
    <col min="6145" max="6145" width="10.7109375" customWidth="1"/>
    <col min="6146" max="6146" width="11" customWidth="1"/>
    <col min="6147" max="6147" width="19.85546875" customWidth="1"/>
    <col min="6148" max="6148" width="16.140625" customWidth="1"/>
    <col min="6150" max="6150" width="12.42578125" customWidth="1"/>
    <col min="6151" max="6151" width="24.140625" customWidth="1"/>
    <col min="6152" max="6152" width="10.7109375" customWidth="1"/>
    <col min="6157" max="6157" width="23" customWidth="1"/>
    <col min="6158" max="6158" width="18.7109375" customWidth="1"/>
    <col min="6401" max="6401" width="10.7109375" customWidth="1"/>
    <col min="6402" max="6402" width="11" customWidth="1"/>
    <col min="6403" max="6403" width="19.85546875" customWidth="1"/>
    <col min="6404" max="6404" width="16.140625" customWidth="1"/>
    <col min="6406" max="6406" width="12.42578125" customWidth="1"/>
    <col min="6407" max="6407" width="24.140625" customWidth="1"/>
    <col min="6408" max="6408" width="10.7109375" customWidth="1"/>
    <col min="6413" max="6413" width="23" customWidth="1"/>
    <col min="6414" max="6414" width="18.7109375" customWidth="1"/>
    <col min="6657" max="6657" width="10.7109375" customWidth="1"/>
    <col min="6658" max="6658" width="11" customWidth="1"/>
    <col min="6659" max="6659" width="19.85546875" customWidth="1"/>
    <col min="6660" max="6660" width="16.140625" customWidth="1"/>
    <col min="6662" max="6662" width="12.42578125" customWidth="1"/>
    <col min="6663" max="6663" width="24.140625" customWidth="1"/>
    <col min="6664" max="6664" width="10.7109375" customWidth="1"/>
    <col min="6669" max="6669" width="23" customWidth="1"/>
    <col min="6670" max="6670" width="18.7109375" customWidth="1"/>
    <col min="6913" max="6913" width="10.7109375" customWidth="1"/>
    <col min="6914" max="6914" width="11" customWidth="1"/>
    <col min="6915" max="6915" width="19.85546875" customWidth="1"/>
    <col min="6916" max="6916" width="16.140625" customWidth="1"/>
    <col min="6918" max="6918" width="12.42578125" customWidth="1"/>
    <col min="6919" max="6919" width="24.140625" customWidth="1"/>
    <col min="6920" max="6920" width="10.7109375" customWidth="1"/>
    <col min="6925" max="6925" width="23" customWidth="1"/>
    <col min="6926" max="6926" width="18.7109375" customWidth="1"/>
    <col min="7169" max="7169" width="10.7109375" customWidth="1"/>
    <col min="7170" max="7170" width="11" customWidth="1"/>
    <col min="7171" max="7171" width="19.85546875" customWidth="1"/>
    <col min="7172" max="7172" width="16.140625" customWidth="1"/>
    <col min="7174" max="7174" width="12.42578125" customWidth="1"/>
    <col min="7175" max="7175" width="24.140625" customWidth="1"/>
    <col min="7176" max="7176" width="10.7109375" customWidth="1"/>
    <col min="7181" max="7181" width="23" customWidth="1"/>
    <col min="7182" max="7182" width="18.7109375" customWidth="1"/>
    <col min="7425" max="7425" width="10.7109375" customWidth="1"/>
    <col min="7426" max="7426" width="11" customWidth="1"/>
    <col min="7427" max="7427" width="19.85546875" customWidth="1"/>
    <col min="7428" max="7428" width="16.140625" customWidth="1"/>
    <col min="7430" max="7430" width="12.42578125" customWidth="1"/>
    <col min="7431" max="7431" width="24.140625" customWidth="1"/>
    <col min="7432" max="7432" width="10.7109375" customWidth="1"/>
    <col min="7437" max="7437" width="23" customWidth="1"/>
    <col min="7438" max="7438" width="18.7109375" customWidth="1"/>
    <col min="7681" max="7681" width="10.7109375" customWidth="1"/>
    <col min="7682" max="7682" width="11" customWidth="1"/>
    <col min="7683" max="7683" width="19.85546875" customWidth="1"/>
    <col min="7684" max="7684" width="16.140625" customWidth="1"/>
    <col min="7686" max="7686" width="12.42578125" customWidth="1"/>
    <col min="7687" max="7687" width="24.140625" customWidth="1"/>
    <col min="7688" max="7688" width="10.7109375" customWidth="1"/>
    <col min="7693" max="7693" width="23" customWidth="1"/>
    <col min="7694" max="7694" width="18.7109375" customWidth="1"/>
    <col min="7937" max="7937" width="10.7109375" customWidth="1"/>
    <col min="7938" max="7938" width="11" customWidth="1"/>
    <col min="7939" max="7939" width="19.85546875" customWidth="1"/>
    <col min="7940" max="7940" width="16.140625" customWidth="1"/>
    <col min="7942" max="7942" width="12.42578125" customWidth="1"/>
    <col min="7943" max="7943" width="24.140625" customWidth="1"/>
    <col min="7944" max="7944" width="10.7109375" customWidth="1"/>
    <col min="7949" max="7949" width="23" customWidth="1"/>
    <col min="7950" max="7950" width="18.7109375" customWidth="1"/>
    <col min="8193" max="8193" width="10.7109375" customWidth="1"/>
    <col min="8194" max="8194" width="11" customWidth="1"/>
    <col min="8195" max="8195" width="19.85546875" customWidth="1"/>
    <col min="8196" max="8196" width="16.140625" customWidth="1"/>
    <col min="8198" max="8198" width="12.42578125" customWidth="1"/>
    <col min="8199" max="8199" width="24.140625" customWidth="1"/>
    <col min="8200" max="8200" width="10.7109375" customWidth="1"/>
    <col min="8205" max="8205" width="23" customWidth="1"/>
    <col min="8206" max="8206" width="18.7109375" customWidth="1"/>
    <col min="8449" max="8449" width="10.7109375" customWidth="1"/>
    <col min="8450" max="8450" width="11" customWidth="1"/>
    <col min="8451" max="8451" width="19.85546875" customWidth="1"/>
    <col min="8452" max="8452" width="16.140625" customWidth="1"/>
    <col min="8454" max="8454" width="12.42578125" customWidth="1"/>
    <col min="8455" max="8455" width="24.140625" customWidth="1"/>
    <col min="8456" max="8456" width="10.7109375" customWidth="1"/>
    <col min="8461" max="8461" width="23" customWidth="1"/>
    <col min="8462" max="8462" width="18.7109375" customWidth="1"/>
    <col min="8705" max="8705" width="10.7109375" customWidth="1"/>
    <col min="8706" max="8706" width="11" customWidth="1"/>
    <col min="8707" max="8707" width="19.85546875" customWidth="1"/>
    <col min="8708" max="8708" width="16.140625" customWidth="1"/>
    <col min="8710" max="8710" width="12.42578125" customWidth="1"/>
    <col min="8711" max="8711" width="24.140625" customWidth="1"/>
    <col min="8712" max="8712" width="10.7109375" customWidth="1"/>
    <col min="8717" max="8717" width="23" customWidth="1"/>
    <col min="8718" max="8718" width="18.7109375" customWidth="1"/>
    <col min="8961" max="8961" width="10.7109375" customWidth="1"/>
    <col min="8962" max="8962" width="11" customWidth="1"/>
    <col min="8963" max="8963" width="19.85546875" customWidth="1"/>
    <col min="8964" max="8964" width="16.140625" customWidth="1"/>
    <col min="8966" max="8966" width="12.42578125" customWidth="1"/>
    <col min="8967" max="8967" width="24.140625" customWidth="1"/>
    <col min="8968" max="8968" width="10.7109375" customWidth="1"/>
    <col min="8973" max="8973" width="23" customWidth="1"/>
    <col min="8974" max="8974" width="18.7109375" customWidth="1"/>
    <col min="9217" max="9217" width="10.7109375" customWidth="1"/>
    <col min="9218" max="9218" width="11" customWidth="1"/>
    <col min="9219" max="9219" width="19.85546875" customWidth="1"/>
    <col min="9220" max="9220" width="16.140625" customWidth="1"/>
    <col min="9222" max="9222" width="12.42578125" customWidth="1"/>
    <col min="9223" max="9223" width="24.140625" customWidth="1"/>
    <col min="9224" max="9224" width="10.7109375" customWidth="1"/>
    <col min="9229" max="9229" width="23" customWidth="1"/>
    <col min="9230" max="9230" width="18.7109375" customWidth="1"/>
    <col min="9473" max="9473" width="10.7109375" customWidth="1"/>
    <col min="9474" max="9474" width="11" customWidth="1"/>
    <col min="9475" max="9475" width="19.85546875" customWidth="1"/>
    <col min="9476" max="9476" width="16.140625" customWidth="1"/>
    <col min="9478" max="9478" width="12.42578125" customWidth="1"/>
    <col min="9479" max="9479" width="24.140625" customWidth="1"/>
    <col min="9480" max="9480" width="10.7109375" customWidth="1"/>
    <col min="9485" max="9485" width="23" customWidth="1"/>
    <col min="9486" max="9486" width="18.7109375" customWidth="1"/>
    <col min="9729" max="9729" width="10.7109375" customWidth="1"/>
    <col min="9730" max="9730" width="11" customWidth="1"/>
    <col min="9731" max="9731" width="19.85546875" customWidth="1"/>
    <col min="9732" max="9732" width="16.140625" customWidth="1"/>
    <col min="9734" max="9734" width="12.42578125" customWidth="1"/>
    <col min="9735" max="9735" width="24.140625" customWidth="1"/>
    <col min="9736" max="9736" width="10.7109375" customWidth="1"/>
    <col min="9741" max="9741" width="23" customWidth="1"/>
    <col min="9742" max="9742" width="18.7109375" customWidth="1"/>
    <col min="9985" max="9985" width="10.7109375" customWidth="1"/>
    <col min="9986" max="9986" width="11" customWidth="1"/>
    <col min="9987" max="9987" width="19.85546875" customWidth="1"/>
    <col min="9988" max="9988" width="16.140625" customWidth="1"/>
    <col min="9990" max="9990" width="12.42578125" customWidth="1"/>
    <col min="9991" max="9991" width="24.140625" customWidth="1"/>
    <col min="9992" max="9992" width="10.7109375" customWidth="1"/>
    <col min="9997" max="9997" width="23" customWidth="1"/>
    <col min="9998" max="9998" width="18.7109375" customWidth="1"/>
    <col min="10241" max="10241" width="10.7109375" customWidth="1"/>
    <col min="10242" max="10242" width="11" customWidth="1"/>
    <col min="10243" max="10243" width="19.85546875" customWidth="1"/>
    <col min="10244" max="10244" width="16.140625" customWidth="1"/>
    <col min="10246" max="10246" width="12.42578125" customWidth="1"/>
    <col min="10247" max="10247" width="24.140625" customWidth="1"/>
    <col min="10248" max="10248" width="10.7109375" customWidth="1"/>
    <col min="10253" max="10253" width="23" customWidth="1"/>
    <col min="10254" max="10254" width="18.7109375" customWidth="1"/>
    <col min="10497" max="10497" width="10.7109375" customWidth="1"/>
    <col min="10498" max="10498" width="11" customWidth="1"/>
    <col min="10499" max="10499" width="19.85546875" customWidth="1"/>
    <col min="10500" max="10500" width="16.140625" customWidth="1"/>
    <col min="10502" max="10502" width="12.42578125" customWidth="1"/>
    <col min="10503" max="10503" width="24.140625" customWidth="1"/>
    <col min="10504" max="10504" width="10.7109375" customWidth="1"/>
    <col min="10509" max="10509" width="23" customWidth="1"/>
    <col min="10510" max="10510" width="18.7109375" customWidth="1"/>
    <col min="10753" max="10753" width="10.7109375" customWidth="1"/>
    <col min="10754" max="10754" width="11" customWidth="1"/>
    <col min="10755" max="10755" width="19.85546875" customWidth="1"/>
    <col min="10756" max="10756" width="16.140625" customWidth="1"/>
    <col min="10758" max="10758" width="12.42578125" customWidth="1"/>
    <col min="10759" max="10759" width="24.140625" customWidth="1"/>
    <col min="10760" max="10760" width="10.7109375" customWidth="1"/>
    <col min="10765" max="10765" width="23" customWidth="1"/>
    <col min="10766" max="10766" width="18.7109375" customWidth="1"/>
    <col min="11009" max="11009" width="10.7109375" customWidth="1"/>
    <col min="11010" max="11010" width="11" customWidth="1"/>
    <col min="11011" max="11011" width="19.85546875" customWidth="1"/>
    <col min="11012" max="11012" width="16.140625" customWidth="1"/>
    <col min="11014" max="11014" width="12.42578125" customWidth="1"/>
    <col min="11015" max="11015" width="24.140625" customWidth="1"/>
    <col min="11016" max="11016" width="10.7109375" customWidth="1"/>
    <col min="11021" max="11021" width="23" customWidth="1"/>
    <col min="11022" max="11022" width="18.7109375" customWidth="1"/>
    <col min="11265" max="11265" width="10.7109375" customWidth="1"/>
    <col min="11266" max="11266" width="11" customWidth="1"/>
    <col min="11267" max="11267" width="19.85546875" customWidth="1"/>
    <col min="11268" max="11268" width="16.140625" customWidth="1"/>
    <col min="11270" max="11270" width="12.42578125" customWidth="1"/>
    <col min="11271" max="11271" width="24.140625" customWidth="1"/>
    <col min="11272" max="11272" width="10.7109375" customWidth="1"/>
    <col min="11277" max="11277" width="23" customWidth="1"/>
    <col min="11278" max="11278" width="18.7109375" customWidth="1"/>
    <col min="11521" max="11521" width="10.7109375" customWidth="1"/>
    <col min="11522" max="11522" width="11" customWidth="1"/>
    <col min="11523" max="11523" width="19.85546875" customWidth="1"/>
    <col min="11524" max="11524" width="16.140625" customWidth="1"/>
    <col min="11526" max="11526" width="12.42578125" customWidth="1"/>
    <col min="11527" max="11527" width="24.140625" customWidth="1"/>
    <col min="11528" max="11528" width="10.7109375" customWidth="1"/>
    <col min="11533" max="11533" width="23" customWidth="1"/>
    <col min="11534" max="11534" width="18.7109375" customWidth="1"/>
    <col min="11777" max="11777" width="10.7109375" customWidth="1"/>
    <col min="11778" max="11778" width="11" customWidth="1"/>
    <col min="11779" max="11779" width="19.85546875" customWidth="1"/>
    <col min="11780" max="11780" width="16.140625" customWidth="1"/>
    <col min="11782" max="11782" width="12.42578125" customWidth="1"/>
    <col min="11783" max="11783" width="24.140625" customWidth="1"/>
    <col min="11784" max="11784" width="10.7109375" customWidth="1"/>
    <col min="11789" max="11789" width="23" customWidth="1"/>
    <col min="11790" max="11790" width="18.7109375" customWidth="1"/>
    <col min="12033" max="12033" width="10.7109375" customWidth="1"/>
    <col min="12034" max="12034" width="11" customWidth="1"/>
    <col min="12035" max="12035" width="19.85546875" customWidth="1"/>
    <col min="12036" max="12036" width="16.140625" customWidth="1"/>
    <col min="12038" max="12038" width="12.42578125" customWidth="1"/>
    <col min="12039" max="12039" width="24.140625" customWidth="1"/>
    <col min="12040" max="12040" width="10.7109375" customWidth="1"/>
    <col min="12045" max="12045" width="23" customWidth="1"/>
    <col min="12046" max="12046" width="18.7109375" customWidth="1"/>
    <col min="12289" max="12289" width="10.7109375" customWidth="1"/>
    <col min="12290" max="12290" width="11" customWidth="1"/>
    <col min="12291" max="12291" width="19.85546875" customWidth="1"/>
    <col min="12292" max="12292" width="16.140625" customWidth="1"/>
    <col min="12294" max="12294" width="12.42578125" customWidth="1"/>
    <col min="12295" max="12295" width="24.140625" customWidth="1"/>
    <col min="12296" max="12296" width="10.7109375" customWidth="1"/>
    <col min="12301" max="12301" width="23" customWidth="1"/>
    <col min="12302" max="12302" width="18.7109375" customWidth="1"/>
    <col min="12545" max="12545" width="10.7109375" customWidth="1"/>
    <col min="12546" max="12546" width="11" customWidth="1"/>
    <col min="12547" max="12547" width="19.85546875" customWidth="1"/>
    <col min="12548" max="12548" width="16.140625" customWidth="1"/>
    <col min="12550" max="12550" width="12.42578125" customWidth="1"/>
    <col min="12551" max="12551" width="24.140625" customWidth="1"/>
    <col min="12552" max="12552" width="10.7109375" customWidth="1"/>
    <col min="12557" max="12557" width="23" customWidth="1"/>
    <col min="12558" max="12558" width="18.7109375" customWidth="1"/>
    <col min="12801" max="12801" width="10.7109375" customWidth="1"/>
    <col min="12802" max="12802" width="11" customWidth="1"/>
    <col min="12803" max="12803" width="19.85546875" customWidth="1"/>
    <col min="12804" max="12804" width="16.140625" customWidth="1"/>
    <col min="12806" max="12806" width="12.42578125" customWidth="1"/>
    <col min="12807" max="12807" width="24.140625" customWidth="1"/>
    <col min="12808" max="12808" width="10.7109375" customWidth="1"/>
    <col min="12813" max="12813" width="23" customWidth="1"/>
    <col min="12814" max="12814" width="18.7109375" customWidth="1"/>
    <col min="13057" max="13057" width="10.7109375" customWidth="1"/>
    <col min="13058" max="13058" width="11" customWidth="1"/>
    <col min="13059" max="13059" width="19.85546875" customWidth="1"/>
    <col min="13060" max="13060" width="16.140625" customWidth="1"/>
    <col min="13062" max="13062" width="12.42578125" customWidth="1"/>
    <col min="13063" max="13063" width="24.140625" customWidth="1"/>
    <col min="13064" max="13064" width="10.7109375" customWidth="1"/>
    <col min="13069" max="13069" width="23" customWidth="1"/>
    <col min="13070" max="13070" width="18.7109375" customWidth="1"/>
    <col min="13313" max="13313" width="10.7109375" customWidth="1"/>
    <col min="13314" max="13314" width="11" customWidth="1"/>
    <col min="13315" max="13315" width="19.85546875" customWidth="1"/>
    <col min="13316" max="13316" width="16.140625" customWidth="1"/>
    <col min="13318" max="13318" width="12.42578125" customWidth="1"/>
    <col min="13319" max="13319" width="24.140625" customWidth="1"/>
    <col min="13320" max="13320" width="10.7109375" customWidth="1"/>
    <col min="13325" max="13325" width="23" customWidth="1"/>
    <col min="13326" max="13326" width="18.7109375" customWidth="1"/>
    <col min="13569" max="13569" width="10.7109375" customWidth="1"/>
    <col min="13570" max="13570" width="11" customWidth="1"/>
    <col min="13571" max="13571" width="19.85546875" customWidth="1"/>
    <col min="13572" max="13572" width="16.140625" customWidth="1"/>
    <col min="13574" max="13574" width="12.42578125" customWidth="1"/>
    <col min="13575" max="13575" width="24.140625" customWidth="1"/>
    <col min="13576" max="13576" width="10.7109375" customWidth="1"/>
    <col min="13581" max="13581" width="23" customWidth="1"/>
    <col min="13582" max="13582" width="18.7109375" customWidth="1"/>
    <col min="13825" max="13825" width="10.7109375" customWidth="1"/>
    <col min="13826" max="13826" width="11" customWidth="1"/>
    <col min="13827" max="13827" width="19.85546875" customWidth="1"/>
    <col min="13828" max="13828" width="16.140625" customWidth="1"/>
    <col min="13830" max="13830" width="12.42578125" customWidth="1"/>
    <col min="13831" max="13831" width="24.140625" customWidth="1"/>
    <col min="13832" max="13832" width="10.7109375" customWidth="1"/>
    <col min="13837" max="13837" width="23" customWidth="1"/>
    <col min="13838" max="13838" width="18.7109375" customWidth="1"/>
    <col min="14081" max="14081" width="10.7109375" customWidth="1"/>
    <col min="14082" max="14082" width="11" customWidth="1"/>
    <col min="14083" max="14083" width="19.85546875" customWidth="1"/>
    <col min="14084" max="14084" width="16.140625" customWidth="1"/>
    <col min="14086" max="14086" width="12.42578125" customWidth="1"/>
    <col min="14087" max="14087" width="24.140625" customWidth="1"/>
    <col min="14088" max="14088" width="10.7109375" customWidth="1"/>
    <col min="14093" max="14093" width="23" customWidth="1"/>
    <col min="14094" max="14094" width="18.7109375" customWidth="1"/>
    <col min="14337" max="14337" width="10.7109375" customWidth="1"/>
    <col min="14338" max="14338" width="11" customWidth="1"/>
    <col min="14339" max="14339" width="19.85546875" customWidth="1"/>
    <col min="14340" max="14340" width="16.140625" customWidth="1"/>
    <col min="14342" max="14342" width="12.42578125" customWidth="1"/>
    <col min="14343" max="14343" width="24.140625" customWidth="1"/>
    <col min="14344" max="14344" width="10.7109375" customWidth="1"/>
    <col min="14349" max="14349" width="23" customWidth="1"/>
    <col min="14350" max="14350" width="18.7109375" customWidth="1"/>
    <col min="14593" max="14593" width="10.7109375" customWidth="1"/>
    <col min="14594" max="14594" width="11" customWidth="1"/>
    <col min="14595" max="14595" width="19.85546875" customWidth="1"/>
    <col min="14596" max="14596" width="16.140625" customWidth="1"/>
    <col min="14598" max="14598" width="12.42578125" customWidth="1"/>
    <col min="14599" max="14599" width="24.140625" customWidth="1"/>
    <col min="14600" max="14600" width="10.7109375" customWidth="1"/>
    <col min="14605" max="14605" width="23" customWidth="1"/>
    <col min="14606" max="14606" width="18.7109375" customWidth="1"/>
    <col min="14849" max="14849" width="10.7109375" customWidth="1"/>
    <col min="14850" max="14850" width="11" customWidth="1"/>
    <col min="14851" max="14851" width="19.85546875" customWidth="1"/>
    <col min="14852" max="14852" width="16.140625" customWidth="1"/>
    <col min="14854" max="14854" width="12.42578125" customWidth="1"/>
    <col min="14855" max="14855" width="24.140625" customWidth="1"/>
    <col min="14856" max="14856" width="10.7109375" customWidth="1"/>
    <col min="14861" max="14861" width="23" customWidth="1"/>
    <col min="14862" max="14862" width="18.7109375" customWidth="1"/>
    <col min="15105" max="15105" width="10.7109375" customWidth="1"/>
    <col min="15106" max="15106" width="11" customWidth="1"/>
    <col min="15107" max="15107" width="19.85546875" customWidth="1"/>
    <col min="15108" max="15108" width="16.140625" customWidth="1"/>
    <col min="15110" max="15110" width="12.42578125" customWidth="1"/>
    <col min="15111" max="15111" width="24.140625" customWidth="1"/>
    <col min="15112" max="15112" width="10.7109375" customWidth="1"/>
    <col min="15117" max="15117" width="23" customWidth="1"/>
    <col min="15118" max="15118" width="18.7109375" customWidth="1"/>
    <col min="15361" max="15361" width="10.7109375" customWidth="1"/>
    <col min="15362" max="15362" width="11" customWidth="1"/>
    <col min="15363" max="15363" width="19.85546875" customWidth="1"/>
    <col min="15364" max="15364" width="16.140625" customWidth="1"/>
    <col min="15366" max="15366" width="12.42578125" customWidth="1"/>
    <col min="15367" max="15367" width="24.140625" customWidth="1"/>
    <col min="15368" max="15368" width="10.7109375" customWidth="1"/>
    <col min="15373" max="15373" width="23" customWidth="1"/>
    <col min="15374" max="15374" width="18.7109375" customWidth="1"/>
    <col min="15617" max="15617" width="10.7109375" customWidth="1"/>
    <col min="15618" max="15618" width="11" customWidth="1"/>
    <col min="15619" max="15619" width="19.85546875" customWidth="1"/>
    <col min="15620" max="15620" width="16.140625" customWidth="1"/>
    <col min="15622" max="15622" width="12.42578125" customWidth="1"/>
    <col min="15623" max="15623" width="24.140625" customWidth="1"/>
    <col min="15624" max="15624" width="10.7109375" customWidth="1"/>
    <col min="15629" max="15629" width="23" customWidth="1"/>
    <col min="15630" max="15630" width="18.7109375" customWidth="1"/>
    <col min="15873" max="15873" width="10.7109375" customWidth="1"/>
    <col min="15874" max="15874" width="11" customWidth="1"/>
    <col min="15875" max="15875" width="19.85546875" customWidth="1"/>
    <col min="15876" max="15876" width="16.140625" customWidth="1"/>
    <col min="15878" max="15878" width="12.42578125" customWidth="1"/>
    <col min="15879" max="15879" width="24.140625" customWidth="1"/>
    <col min="15880" max="15880" width="10.7109375" customWidth="1"/>
    <col min="15885" max="15885" width="23" customWidth="1"/>
    <col min="15886" max="15886" width="18.7109375" customWidth="1"/>
    <col min="16129" max="16129" width="10.7109375" customWidth="1"/>
    <col min="16130" max="16130" width="11" customWidth="1"/>
    <col min="16131" max="16131" width="19.85546875" customWidth="1"/>
    <col min="16132" max="16132" width="16.140625" customWidth="1"/>
    <col min="16134" max="16134" width="12.42578125" customWidth="1"/>
    <col min="16135" max="16135" width="24.140625" customWidth="1"/>
    <col min="16136" max="16136" width="10.7109375" customWidth="1"/>
    <col min="16141" max="16141" width="23" customWidth="1"/>
    <col min="16142" max="16142" width="1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12</v>
      </c>
    </row>
    <row r="2" spans="1:14" x14ac:dyDescent="0.25">
      <c r="A2" t="str">
        <f t="shared" ref="A2:A29" si="0">IF(B2="","","S")</f>
        <v>S</v>
      </c>
      <c r="B2" s="2">
        <f>IF(Worksheet!D2="","",Worksheet!D2)</f>
        <v>15</v>
      </c>
      <c r="E2" t="str">
        <f>IF(Worksheet!B2="","",Worksheet!B2)</f>
        <v>QCELL</v>
      </c>
      <c r="F2" t="str">
        <f>IF(Worksheet!C2="","",Worksheet!C2)</f>
        <v>Q.PEAK DUO BLK ML-G10+ 400</v>
      </c>
    </row>
    <row r="3" spans="1:14" x14ac:dyDescent="0.25">
      <c r="A3" t="str">
        <f t="shared" si="0"/>
        <v>S</v>
      </c>
      <c r="B3" s="2">
        <f>IF(Worksheet!D3="","",Worksheet!D3)</f>
        <v>2</v>
      </c>
      <c r="E3" t="str">
        <f>IF(Worksheet!B3="","",Worksheet!B3)</f>
        <v>BPT</v>
      </c>
      <c r="F3" t="str">
        <f>IF(Worksheet!C3="","",Worksheet!C3)</f>
        <v>382DC</v>
      </c>
    </row>
    <row r="4" spans="1:14" x14ac:dyDescent="0.25">
      <c r="A4" t="str">
        <f t="shared" si="0"/>
        <v>S</v>
      </c>
      <c r="B4" s="2">
        <f>IF(Worksheet!D4="","",Worksheet!D4)</f>
        <v>5</v>
      </c>
      <c r="E4" t="str">
        <f>IF(Worksheet!B4="","",Worksheet!B4)</f>
        <v>BPT</v>
      </c>
      <c r="F4" t="str">
        <f>IF(Worksheet!C4="","",Worksheet!C4)</f>
        <v xml:space="preserve">SR075               </v>
      </c>
    </row>
    <row r="5" spans="1:14" x14ac:dyDescent="0.25">
      <c r="A5" t="str">
        <f t="shared" si="0"/>
        <v>S</v>
      </c>
      <c r="B5" s="2">
        <f>IF(Worksheet!D5="","",Worksheet!D5)</f>
        <v>1</v>
      </c>
      <c r="E5" t="str">
        <f>IF(Worksheet!B5="","",Worksheet!B5)</f>
        <v>CHEML</v>
      </c>
      <c r="F5" t="str">
        <f>IF(Worksheet!C5="","",Worksheet!C5)</f>
        <v>F1270GR</v>
      </c>
    </row>
    <row r="6" spans="1:14" x14ac:dyDescent="0.25">
      <c r="A6" t="str">
        <f t="shared" si="0"/>
        <v>S</v>
      </c>
      <c r="B6" s="2">
        <f>IF(Worksheet!D6="","",Worksheet!D6)</f>
        <v>5</v>
      </c>
      <c r="E6" t="str">
        <f>IF(Worksheet!B6="","",Worksheet!B6)</f>
        <v>SWIRE</v>
      </c>
      <c r="F6">
        <f>IF(Worksheet!C6="","",Worksheet!C6)</f>
        <v>282</v>
      </c>
    </row>
    <row r="7" spans="1:14" x14ac:dyDescent="0.25">
      <c r="A7" t="str">
        <f t="shared" si="0"/>
        <v>S</v>
      </c>
      <c r="B7" s="2">
        <f>IF(Worksheet!D7="","",Worksheet!D7)</f>
        <v>4</v>
      </c>
      <c r="E7" t="str">
        <f>IF(Worksheet!B7="","",Worksheet!B7)</f>
        <v>SWIRE</v>
      </c>
      <c r="F7" t="str">
        <f>IF(Worksheet!C7="","",Worksheet!C7)</f>
        <v>452TZ</v>
      </c>
    </row>
    <row r="8" spans="1:14" x14ac:dyDescent="0.25">
      <c r="A8" t="str">
        <f t="shared" si="0"/>
        <v>S</v>
      </c>
      <c r="B8" s="2">
        <f>IF(Worksheet!D8="","",Worksheet!D8)</f>
        <v>5</v>
      </c>
      <c r="E8" t="str">
        <f>IF(Worksheet!B8="","",Worksheet!B8)</f>
        <v>SWIRE</v>
      </c>
      <c r="F8" t="str">
        <f>IF(Worksheet!C8="","",Worksheet!C8)</f>
        <v>832TZ</v>
      </c>
    </row>
    <row r="9" spans="1:14" x14ac:dyDescent="0.25">
      <c r="A9" t="str">
        <f t="shared" si="0"/>
        <v>S</v>
      </c>
      <c r="B9" s="2">
        <f>IF(Worksheet!D9="","",Worksheet!D9)</f>
        <v>2</v>
      </c>
      <c r="E9" t="str">
        <f>IF(Worksheet!B9="","",Worksheet!B9)</f>
        <v>EATON</v>
      </c>
      <c r="F9" t="str">
        <f>IF(Worksheet!C9="","",Worksheet!C9)</f>
        <v>BR220</v>
      </c>
    </row>
    <row r="10" spans="1:14" x14ac:dyDescent="0.25">
      <c r="A10" t="str">
        <f t="shared" si="0"/>
        <v>S</v>
      </c>
      <c r="B10" s="2">
        <f>IF(Worksheet!D10="","",Worksheet!D10)</f>
        <v>1</v>
      </c>
      <c r="E10" t="str">
        <f>IF(Worksheet!B10="","",Worksheet!B10)</f>
        <v>EATON</v>
      </c>
      <c r="F10" t="str">
        <f>IF(Worksheet!C10="","",Worksheet!C10)</f>
        <v>DG222URB</v>
      </c>
    </row>
    <row r="11" spans="1:14" x14ac:dyDescent="0.25">
      <c r="A11" t="str">
        <f t="shared" si="0"/>
        <v>S</v>
      </c>
      <c r="B11" s="2">
        <f>IF(Worksheet!D11="","",Worksheet!D11)</f>
        <v>1</v>
      </c>
      <c r="E11" t="str">
        <f>IF(Worksheet!B11="","",Worksheet!B11)</f>
        <v>EZSLR</v>
      </c>
      <c r="F11" t="str">
        <f>IF(Worksheet!C11="","",Worksheet!C11)</f>
        <v>JB-1.2</v>
      </c>
    </row>
    <row r="12" spans="1:14" x14ac:dyDescent="0.25">
      <c r="A12" t="str">
        <f t="shared" si="0"/>
        <v>S</v>
      </c>
      <c r="B12" s="2">
        <f>IF(Worksheet!D12="","",Worksheet!D12)</f>
        <v>100</v>
      </c>
      <c r="E12" t="str">
        <f>IF(Worksheet!B12="","",Worksheet!B12)</f>
        <v>FLEX</v>
      </c>
      <c r="F12" t="str">
        <f>IF(Worksheet!C12="","",Worksheet!C12)</f>
        <v>RWA-3/4</v>
      </c>
    </row>
    <row r="13" spans="1:14" x14ac:dyDescent="0.25">
      <c r="A13" t="str">
        <f t="shared" si="0"/>
        <v>S</v>
      </c>
      <c r="B13" s="2">
        <f>IF(Worksheet!D13="","",Worksheet!D13)</f>
        <v>1</v>
      </c>
      <c r="E13" t="str">
        <f>IF(Worksheet!B13="","",Worksheet!B13)</f>
        <v>NSI</v>
      </c>
      <c r="F13">
        <f>IF(Worksheet!C13="","",Worksheet!C13)</f>
        <v>11500</v>
      </c>
    </row>
    <row r="14" spans="1:14" x14ac:dyDescent="0.25">
      <c r="A14" t="str">
        <f t="shared" si="0"/>
        <v>S</v>
      </c>
      <c r="B14" s="2">
        <f>IF(Worksheet!D14="","",Worksheet!D14)</f>
        <v>1</v>
      </c>
      <c r="E14" t="str">
        <f>IF(Worksheet!B14="","",Worksheet!B14)</f>
        <v>PVC</v>
      </c>
      <c r="F14" t="str">
        <f>IF(Worksheet!C14="","",Worksheet!C14)</f>
        <v>COND-3/4</v>
      </c>
    </row>
    <row r="15" spans="1:14" x14ac:dyDescent="0.25">
      <c r="A15" t="str">
        <f t="shared" si="0"/>
        <v>S</v>
      </c>
      <c r="B15" s="2">
        <f>IF(Worksheet!D15="","",Worksheet!D15)</f>
        <v>1</v>
      </c>
      <c r="E15" t="str">
        <f>IF(Worksheet!B15="","",Worksheet!B15)</f>
        <v>PVC</v>
      </c>
      <c r="F15" t="str">
        <f>IF(Worksheet!C15="","",Worksheet!C15)</f>
        <v>EL-3/4</v>
      </c>
    </row>
    <row r="16" spans="1:14" x14ac:dyDescent="0.25">
      <c r="A16" t="str">
        <f t="shared" si="0"/>
        <v>S</v>
      </c>
      <c r="B16" s="2">
        <f>IF(Worksheet!D16="","",Worksheet!D16)</f>
        <v>1</v>
      </c>
      <c r="E16" t="str">
        <f>IF(Worksheet!B16="","",Worksheet!B16)</f>
        <v>PVC</v>
      </c>
      <c r="F16" t="str">
        <f>IF(Worksheet!C16="","",Worksheet!C16)</f>
        <v>FA-3/4</v>
      </c>
    </row>
    <row r="17" spans="1:6" x14ac:dyDescent="0.25">
      <c r="A17" t="str">
        <f t="shared" si="0"/>
        <v>S</v>
      </c>
      <c r="B17" s="2">
        <f>IF(Worksheet!D17="","",Worksheet!D17)</f>
        <v>1</v>
      </c>
      <c r="E17" t="str">
        <f>IF(Worksheet!B17="","",Worksheet!B17)</f>
        <v>PVC</v>
      </c>
      <c r="F17" t="str">
        <f>IF(Worksheet!C17="","",Worksheet!C17)</f>
        <v>LL-3/4</v>
      </c>
    </row>
    <row r="18" spans="1:6" x14ac:dyDescent="0.25">
      <c r="A18" t="str">
        <f t="shared" si="0"/>
        <v>S</v>
      </c>
      <c r="B18" s="2">
        <f>IF(Worksheet!D18="","",Worksheet!D18)</f>
        <v>5</v>
      </c>
      <c r="E18" t="str">
        <f>IF(Worksheet!B18="","",Worksheet!B18)</f>
        <v>PVC</v>
      </c>
      <c r="F18" t="str">
        <f>IF(Worksheet!C18="","",Worksheet!C18)</f>
        <v>TA-3/4</v>
      </c>
    </row>
    <row r="19" spans="1:6" x14ac:dyDescent="0.25">
      <c r="A19" t="str">
        <f t="shared" si="0"/>
        <v>S</v>
      </c>
      <c r="B19" s="2">
        <f>IF(Worksheet!D19="","",Worksheet!D19)</f>
        <v>1</v>
      </c>
      <c r="E19" t="str">
        <f>IF(Worksheet!B19="","",Worksheet!B19)</f>
        <v>SOLAD</v>
      </c>
      <c r="F19">
        <f>IF(Worksheet!C19="","",Worksheet!C19)</f>
        <v>1604</v>
      </c>
    </row>
    <row r="20" spans="1:6" x14ac:dyDescent="0.25">
      <c r="A20" t="str">
        <f t="shared" si="0"/>
        <v>S</v>
      </c>
      <c r="B20" s="2">
        <f>IF(Worksheet!D20="","",Worksheet!D20)</f>
        <v>1</v>
      </c>
      <c r="E20" t="str">
        <f>IF(Worksheet!B20="","",Worksheet!B20)</f>
        <v>SOLAD</v>
      </c>
      <c r="F20" t="str">
        <f>IF(Worksheet!C20="","",Worksheet!C20)</f>
        <v>0799-5B</v>
      </c>
    </row>
    <row r="21" spans="1:6" x14ac:dyDescent="0.25">
      <c r="A21" t="str">
        <f t="shared" si="0"/>
        <v>S</v>
      </c>
      <c r="B21" s="2">
        <f>IF(Worksheet!D21="","",Worksheet!D21)</f>
        <v>1</v>
      </c>
      <c r="E21" t="str">
        <f>IF(Worksheet!B21="","",Worksheet!B21)</f>
        <v>SQD</v>
      </c>
      <c r="F21" t="str">
        <f>IF(Worksheet!C21="","",Worksheet!C21)</f>
        <v>QO230</v>
      </c>
    </row>
    <row r="22" spans="1:6" x14ac:dyDescent="0.25">
      <c r="A22" t="str">
        <f t="shared" si="0"/>
        <v>S</v>
      </c>
      <c r="B22" s="2">
        <f>IF(Worksheet!D22="","",Worksheet!D22)</f>
        <v>1</v>
      </c>
      <c r="E22" t="str">
        <f>IF(Worksheet!B22="","",Worksheet!B22)</f>
        <v>SQD</v>
      </c>
      <c r="F22" t="str">
        <f>IF(Worksheet!C22="","",Worksheet!C22)</f>
        <v>QOM2150VH</v>
      </c>
    </row>
    <row r="23" spans="1:6" x14ac:dyDescent="0.25">
      <c r="A23" t="str">
        <f t="shared" si="0"/>
        <v/>
      </c>
      <c r="B23" s="2" t="str">
        <f>IF(Worksheet!D23="","",Worksheet!D23)</f>
        <v/>
      </c>
      <c r="E23" t="str">
        <f>IF(Worksheet!B23="","",Worksheet!B23)</f>
        <v/>
      </c>
      <c r="F23" t="str">
        <f>IF(Worksheet!C23="","",Worksheet!C23)</f>
        <v/>
      </c>
    </row>
    <row r="24" spans="1:6" x14ac:dyDescent="0.25">
      <c r="A24" t="str">
        <f t="shared" si="0"/>
        <v/>
      </c>
      <c r="B24" s="2" t="str">
        <f>IF(Worksheet!D24="","",Worksheet!D24)</f>
        <v/>
      </c>
      <c r="E24" t="str">
        <f>IF(Worksheet!B24="","",Worksheet!B24)</f>
        <v/>
      </c>
      <c r="F24" t="str">
        <f>IF(Worksheet!C24="","",Worksheet!C24)</f>
        <v/>
      </c>
    </row>
    <row r="25" spans="1:6" x14ac:dyDescent="0.25">
      <c r="A25" t="str">
        <f t="shared" si="0"/>
        <v/>
      </c>
      <c r="B25" s="2" t="str">
        <f>IF(Worksheet!D25="","",Worksheet!D25)</f>
        <v/>
      </c>
      <c r="E25" t="str">
        <f>IF(Worksheet!B25="","",Worksheet!B25)</f>
        <v/>
      </c>
      <c r="F25" t="str">
        <f>IF(Worksheet!C25="","",Worksheet!C25)</f>
        <v/>
      </c>
    </row>
    <row r="26" spans="1:6" x14ac:dyDescent="0.25">
      <c r="A26" t="str">
        <f t="shared" si="0"/>
        <v/>
      </c>
      <c r="B26" s="2" t="str">
        <f>IF(Worksheet!D26="","",Worksheet!D26)</f>
        <v/>
      </c>
      <c r="E26" t="str">
        <f>IF(Worksheet!B26="","",Worksheet!B26)</f>
        <v/>
      </c>
      <c r="F26" t="str">
        <f>IF(Worksheet!C26="","",Worksheet!C26)</f>
        <v/>
      </c>
    </row>
    <row r="27" spans="1:6" x14ac:dyDescent="0.25">
      <c r="A27" t="str">
        <f t="shared" si="0"/>
        <v/>
      </c>
      <c r="B27" s="2" t="str">
        <f>IF(Worksheet!D27="","",Worksheet!D27)</f>
        <v/>
      </c>
      <c r="E27" t="str">
        <f>IF(Worksheet!B27="","",Worksheet!B27)</f>
        <v/>
      </c>
      <c r="F27" t="str">
        <f>IF(Worksheet!C27="","",Worksheet!C27)</f>
        <v/>
      </c>
    </row>
    <row r="28" spans="1:6" x14ac:dyDescent="0.25">
      <c r="A28" t="str">
        <f t="shared" si="0"/>
        <v/>
      </c>
      <c r="B28" s="2" t="str">
        <f>IF(Worksheet!D28="","",Worksheet!D28)</f>
        <v/>
      </c>
      <c r="E28" t="str">
        <f>IF(Worksheet!B28="","",Worksheet!B28)</f>
        <v/>
      </c>
      <c r="F28" t="str">
        <f>IF(Worksheet!C28="","",Worksheet!C28)</f>
        <v/>
      </c>
    </row>
    <row r="29" spans="1:6" x14ac:dyDescent="0.25">
      <c r="A29" t="str">
        <f t="shared" si="0"/>
        <v/>
      </c>
      <c r="B29" s="2" t="str">
        <f>IF(Worksheet!D29="","",Worksheet!D29)</f>
        <v/>
      </c>
      <c r="E29" t="str">
        <f>IF(Worksheet!B29="","",Worksheet!B29)</f>
        <v/>
      </c>
      <c r="F29" t="str">
        <f>IF(Worksheet!C29="","",Worksheet!C29)</f>
        <v/>
      </c>
    </row>
    <row r="30" spans="1:6" x14ac:dyDescent="0.25">
      <c r="A30" t="str">
        <f>IF(B30="","","S")</f>
        <v/>
      </c>
      <c r="B30" s="2" t="str">
        <f>IF(Worksheet!D30="","",Worksheet!D30)</f>
        <v/>
      </c>
      <c r="E30" t="str">
        <f>IF(Worksheet!B30="","",Worksheet!B30)</f>
        <v/>
      </c>
      <c r="F30" t="str">
        <f>IF(Worksheet!C30="","",Worksheet!C30)</f>
        <v/>
      </c>
    </row>
    <row r="31" spans="1:6" x14ac:dyDescent="0.25">
      <c r="A31" t="str">
        <f t="shared" ref="A31:A94" si="1">IF(B31="","","S")</f>
        <v/>
      </c>
      <c r="B31" s="2" t="str">
        <f>IF(Worksheet!D31="","",Worksheet!D31)</f>
        <v/>
      </c>
      <c r="E31" t="str">
        <f>IF(Worksheet!B31="","",Worksheet!B31)</f>
        <v/>
      </c>
      <c r="F31" t="str">
        <f>IF(Worksheet!C31="","",Worksheet!C31)</f>
        <v/>
      </c>
    </row>
    <row r="32" spans="1:6" x14ac:dyDescent="0.25">
      <c r="A32" t="str">
        <f t="shared" si="1"/>
        <v/>
      </c>
      <c r="B32" s="2" t="str">
        <f>IF(Worksheet!D32="","",Worksheet!D32)</f>
        <v/>
      </c>
      <c r="E32" t="str">
        <f>IF(Worksheet!B32="","",Worksheet!B32)</f>
        <v/>
      </c>
      <c r="F32" t="str">
        <f>IF(Worksheet!C32="","",Worksheet!C32)</f>
        <v/>
      </c>
    </row>
    <row r="33" spans="1:6" x14ac:dyDescent="0.25">
      <c r="A33" t="str">
        <f t="shared" si="1"/>
        <v/>
      </c>
      <c r="B33" s="2" t="str">
        <f>IF(Worksheet!D33="","",Worksheet!D33)</f>
        <v/>
      </c>
      <c r="E33" t="str">
        <f>IF(Worksheet!B33="","",Worksheet!B33)</f>
        <v/>
      </c>
      <c r="F33" t="str">
        <f>IF(Worksheet!C33="","",Worksheet!C33)</f>
        <v/>
      </c>
    </row>
    <row r="34" spans="1:6" x14ac:dyDescent="0.25">
      <c r="A34" t="str">
        <f t="shared" si="1"/>
        <v/>
      </c>
      <c r="B34" s="2" t="str">
        <f>IF(Worksheet!D34="","",Worksheet!D34)</f>
        <v/>
      </c>
      <c r="E34" t="str">
        <f>IF(Worksheet!B34="","",Worksheet!B34)</f>
        <v/>
      </c>
      <c r="F34" t="str">
        <f>IF(Worksheet!C34="","",Worksheet!C34)</f>
        <v/>
      </c>
    </row>
    <row r="35" spans="1:6" x14ac:dyDescent="0.25">
      <c r="A35" t="str">
        <f t="shared" si="1"/>
        <v/>
      </c>
      <c r="B35" s="2" t="str">
        <f>IF(Worksheet!D35="","",Worksheet!D35)</f>
        <v/>
      </c>
      <c r="E35" t="str">
        <f>IF(Worksheet!B35="","",Worksheet!B35)</f>
        <v/>
      </c>
      <c r="F35" t="str">
        <f>IF(Worksheet!C35="","",Worksheet!C35)</f>
        <v/>
      </c>
    </row>
    <row r="36" spans="1:6" x14ac:dyDescent="0.25">
      <c r="A36" t="str">
        <f t="shared" si="1"/>
        <v/>
      </c>
      <c r="B36" s="2" t="str">
        <f>IF(Worksheet!D36="","",Worksheet!D36)</f>
        <v/>
      </c>
      <c r="E36" t="str">
        <f>IF(Worksheet!B36="","",Worksheet!B36)</f>
        <v/>
      </c>
      <c r="F36" t="str">
        <f>IF(Worksheet!C36="","",Worksheet!C36)</f>
        <v/>
      </c>
    </row>
    <row r="37" spans="1:6" x14ac:dyDescent="0.25">
      <c r="A37" t="str">
        <f t="shared" si="1"/>
        <v/>
      </c>
      <c r="B37" s="2" t="str">
        <f>IF(Worksheet!D37="","",Worksheet!D37)</f>
        <v/>
      </c>
      <c r="E37" t="str">
        <f>IF(Worksheet!B37="","",Worksheet!B37)</f>
        <v/>
      </c>
      <c r="F37" t="str">
        <f>IF(Worksheet!C37="","",Worksheet!C37)</f>
        <v/>
      </c>
    </row>
    <row r="38" spans="1:6" x14ac:dyDescent="0.25">
      <c r="A38" t="str">
        <f t="shared" si="1"/>
        <v/>
      </c>
      <c r="B38" s="2" t="str">
        <f>IF(Worksheet!D38="","",Worksheet!D38)</f>
        <v/>
      </c>
      <c r="E38" t="str">
        <f>IF(Worksheet!B38="","",Worksheet!B38)</f>
        <v/>
      </c>
      <c r="F38" t="str">
        <f>IF(Worksheet!C38="","",Worksheet!C38)</f>
        <v/>
      </c>
    </row>
    <row r="39" spans="1:6" x14ac:dyDescent="0.25">
      <c r="A39" t="str">
        <f t="shared" si="1"/>
        <v/>
      </c>
      <c r="B39" s="2" t="str">
        <f>IF(Worksheet!D39="","",Worksheet!D39)</f>
        <v/>
      </c>
      <c r="E39" t="str">
        <f>IF(Worksheet!B39="","",Worksheet!B39)</f>
        <v/>
      </c>
      <c r="F39" t="str">
        <f>IF(Worksheet!C39="","",Worksheet!C39)</f>
        <v/>
      </c>
    </row>
    <row r="40" spans="1:6" x14ac:dyDescent="0.25">
      <c r="A40" t="str">
        <f t="shared" si="1"/>
        <v/>
      </c>
      <c r="B40" s="2" t="str">
        <f>IF(Worksheet!D40="","",Worksheet!D40)</f>
        <v/>
      </c>
      <c r="E40" t="str">
        <f>IF(Worksheet!B40="","",Worksheet!B40)</f>
        <v/>
      </c>
      <c r="F40" t="str">
        <f>IF(Worksheet!C40="","",Worksheet!C40)</f>
        <v/>
      </c>
    </row>
    <row r="41" spans="1:6" x14ac:dyDescent="0.25">
      <c r="A41" t="str">
        <f t="shared" si="1"/>
        <v/>
      </c>
      <c r="B41" s="2" t="str">
        <f>IF(Worksheet!D41="","",Worksheet!D41)</f>
        <v/>
      </c>
      <c r="E41" t="str">
        <f>IF(Worksheet!B41="","",Worksheet!B41)</f>
        <v/>
      </c>
      <c r="F41" t="str">
        <f>IF(Worksheet!C41="","",Worksheet!C41)</f>
        <v/>
      </c>
    </row>
    <row r="42" spans="1:6" x14ac:dyDescent="0.25">
      <c r="A42" t="str">
        <f t="shared" si="1"/>
        <v/>
      </c>
      <c r="B42" s="2" t="str">
        <f>IF(Worksheet!D42="","",Worksheet!D42)</f>
        <v/>
      </c>
      <c r="E42" t="str">
        <f>IF(Worksheet!B42="","",Worksheet!B42)</f>
        <v/>
      </c>
      <c r="F42" t="str">
        <f>IF(Worksheet!C42="","",Worksheet!C42)</f>
        <v/>
      </c>
    </row>
    <row r="43" spans="1:6" x14ac:dyDescent="0.25">
      <c r="A43" t="str">
        <f t="shared" si="1"/>
        <v/>
      </c>
      <c r="B43" s="2" t="str">
        <f>IF(Worksheet!D43="","",Worksheet!D43)</f>
        <v/>
      </c>
      <c r="E43" t="str">
        <f>IF(Worksheet!B43="","",Worksheet!B43)</f>
        <v/>
      </c>
      <c r="F43" t="str">
        <f>IF(Worksheet!C43="","",Worksheet!C43)</f>
        <v/>
      </c>
    </row>
    <row r="44" spans="1:6" x14ac:dyDescent="0.25">
      <c r="A44" t="str">
        <f t="shared" si="1"/>
        <v/>
      </c>
      <c r="B44" s="2" t="str">
        <f>IF(Worksheet!D44="","",Worksheet!D44)</f>
        <v/>
      </c>
      <c r="E44" t="str">
        <f>IF(Worksheet!B44="","",Worksheet!B44)</f>
        <v/>
      </c>
      <c r="F44" t="str">
        <f>IF(Worksheet!C44="","",Worksheet!C44)</f>
        <v/>
      </c>
    </row>
    <row r="45" spans="1:6" x14ac:dyDescent="0.25">
      <c r="A45" t="str">
        <f t="shared" si="1"/>
        <v/>
      </c>
      <c r="B45" s="2" t="str">
        <f>IF(Worksheet!D45="","",Worksheet!D45)</f>
        <v/>
      </c>
      <c r="E45" t="str">
        <f>IF(Worksheet!B45="","",Worksheet!B45)</f>
        <v/>
      </c>
      <c r="F45" t="str">
        <f>IF(Worksheet!C45="","",Worksheet!C45)</f>
        <v/>
      </c>
    </row>
    <row r="46" spans="1:6" x14ac:dyDescent="0.25">
      <c r="A46" t="str">
        <f t="shared" si="1"/>
        <v/>
      </c>
      <c r="B46" s="2" t="str">
        <f>IF(Worksheet!D46="","",Worksheet!D46)</f>
        <v/>
      </c>
      <c r="E46" t="str">
        <f>IF(Worksheet!B46="","",Worksheet!B46)</f>
        <v/>
      </c>
      <c r="F46" t="str">
        <f>IF(Worksheet!C46="","",Worksheet!C46)</f>
        <v/>
      </c>
    </row>
    <row r="47" spans="1:6" x14ac:dyDescent="0.25">
      <c r="A47" t="str">
        <f t="shared" si="1"/>
        <v/>
      </c>
      <c r="B47" s="2" t="str">
        <f>IF(Worksheet!D47="","",Worksheet!D47)</f>
        <v/>
      </c>
      <c r="E47" t="str">
        <f>IF(Worksheet!B47="","",Worksheet!B47)</f>
        <v/>
      </c>
      <c r="F47" t="str">
        <f>IF(Worksheet!C47="","",Worksheet!C47)</f>
        <v/>
      </c>
    </row>
    <row r="48" spans="1:6" x14ac:dyDescent="0.25">
      <c r="A48" t="str">
        <f t="shared" si="1"/>
        <v/>
      </c>
      <c r="B48" s="2" t="str">
        <f>IF(Worksheet!D48="","",Worksheet!D48)</f>
        <v/>
      </c>
      <c r="E48" t="str">
        <f>IF(Worksheet!B48="","",Worksheet!B48)</f>
        <v/>
      </c>
      <c r="F48" t="str">
        <f>IF(Worksheet!C48="","",Worksheet!C48)</f>
        <v/>
      </c>
    </row>
    <row r="49" spans="1:6" x14ac:dyDescent="0.25">
      <c r="A49" t="str">
        <f t="shared" si="1"/>
        <v/>
      </c>
      <c r="B49" s="2" t="str">
        <f>IF(Worksheet!D49="","",Worksheet!D49)</f>
        <v/>
      </c>
      <c r="E49" t="str">
        <f>IF(Worksheet!B49="","",Worksheet!B49)</f>
        <v/>
      </c>
      <c r="F49" t="str">
        <f>IF(Worksheet!C49="","",Worksheet!C49)</f>
        <v/>
      </c>
    </row>
    <row r="50" spans="1:6" x14ac:dyDescent="0.25">
      <c r="A50" t="str">
        <f t="shared" si="1"/>
        <v/>
      </c>
      <c r="B50" s="2" t="str">
        <f>IF(Worksheet!D50="","",Worksheet!D50)</f>
        <v/>
      </c>
      <c r="E50" t="str">
        <f>IF(Worksheet!B50="","",Worksheet!B50)</f>
        <v/>
      </c>
      <c r="F50" t="str">
        <f>IF(Worksheet!C50="","",Worksheet!C50)</f>
        <v/>
      </c>
    </row>
    <row r="51" spans="1:6" x14ac:dyDescent="0.25">
      <c r="A51" t="str">
        <f t="shared" si="1"/>
        <v/>
      </c>
      <c r="B51" s="2" t="str">
        <f>IF(Worksheet!D51="","",Worksheet!D51)</f>
        <v/>
      </c>
      <c r="E51" t="str">
        <f>IF(Worksheet!B51="","",Worksheet!B51)</f>
        <v/>
      </c>
      <c r="F51" t="str">
        <f>IF(Worksheet!C51="","",Worksheet!C51)</f>
        <v/>
      </c>
    </row>
    <row r="52" spans="1:6" x14ac:dyDescent="0.25">
      <c r="A52" t="str">
        <f t="shared" si="1"/>
        <v/>
      </c>
      <c r="B52" s="2" t="str">
        <f>IF(Worksheet!D52="","",Worksheet!D52)</f>
        <v/>
      </c>
      <c r="E52" t="str">
        <f>IF(Worksheet!B52="","",Worksheet!B52)</f>
        <v/>
      </c>
      <c r="F52" t="str">
        <f>IF(Worksheet!C52="","",Worksheet!C52)</f>
        <v/>
      </c>
    </row>
    <row r="53" spans="1:6" x14ac:dyDescent="0.25">
      <c r="A53" t="str">
        <f t="shared" si="1"/>
        <v/>
      </c>
      <c r="B53" s="2" t="str">
        <f>IF(Worksheet!D53="","",Worksheet!D53)</f>
        <v/>
      </c>
      <c r="E53" t="str">
        <f>IF(Worksheet!B53="","",Worksheet!B53)</f>
        <v/>
      </c>
      <c r="F53" t="str">
        <f>IF(Worksheet!C53="","",Worksheet!C53)</f>
        <v/>
      </c>
    </row>
    <row r="54" spans="1:6" x14ac:dyDescent="0.25">
      <c r="A54" t="str">
        <f t="shared" si="1"/>
        <v/>
      </c>
      <c r="B54" s="2" t="str">
        <f>IF(Worksheet!D54="","",Worksheet!D54)</f>
        <v/>
      </c>
      <c r="E54" t="str">
        <f>IF(Worksheet!B54="","",Worksheet!B54)</f>
        <v/>
      </c>
      <c r="F54" t="str">
        <f>IF(Worksheet!C54="","",Worksheet!C54)</f>
        <v/>
      </c>
    </row>
    <row r="55" spans="1:6" x14ac:dyDescent="0.25">
      <c r="A55" t="str">
        <f t="shared" si="1"/>
        <v/>
      </c>
      <c r="B55" s="2" t="str">
        <f>IF(Worksheet!D55="","",Worksheet!D55)</f>
        <v/>
      </c>
      <c r="E55" t="str">
        <f>IF(Worksheet!B55="","",Worksheet!B55)</f>
        <v/>
      </c>
      <c r="F55" t="str">
        <f>IF(Worksheet!C55="","",Worksheet!C55)</f>
        <v/>
      </c>
    </row>
    <row r="56" spans="1:6" x14ac:dyDescent="0.25">
      <c r="A56" t="str">
        <f t="shared" si="1"/>
        <v/>
      </c>
      <c r="B56" s="2" t="str">
        <f>IF(Worksheet!D56="","",Worksheet!D56)</f>
        <v/>
      </c>
      <c r="E56" t="str">
        <f>IF(Worksheet!B56="","",Worksheet!B56)</f>
        <v/>
      </c>
      <c r="F56" t="str">
        <f>IF(Worksheet!C56="","",Worksheet!C56)</f>
        <v/>
      </c>
    </row>
    <row r="57" spans="1:6" x14ac:dyDescent="0.25">
      <c r="A57" t="str">
        <f t="shared" si="1"/>
        <v/>
      </c>
      <c r="B57" s="2" t="str">
        <f>IF(Worksheet!D57="","",Worksheet!D57)</f>
        <v/>
      </c>
      <c r="E57" t="str">
        <f>IF(Worksheet!B57="","",Worksheet!B57)</f>
        <v/>
      </c>
      <c r="F57" t="str">
        <f>IF(Worksheet!C57="","",Worksheet!C57)</f>
        <v/>
      </c>
    </row>
    <row r="58" spans="1:6" x14ac:dyDescent="0.25">
      <c r="A58" t="str">
        <f t="shared" si="1"/>
        <v/>
      </c>
      <c r="B58" s="2" t="str">
        <f>IF(Worksheet!D58="","",Worksheet!D58)</f>
        <v/>
      </c>
      <c r="E58" t="str">
        <f>IF(Worksheet!B58="","",Worksheet!B58)</f>
        <v/>
      </c>
      <c r="F58" t="str">
        <f>IF(Worksheet!C58="","",Worksheet!C58)</f>
        <v/>
      </c>
    </row>
    <row r="59" spans="1:6" x14ac:dyDescent="0.25">
      <c r="A59" t="str">
        <f t="shared" si="1"/>
        <v/>
      </c>
      <c r="B59" s="2" t="str">
        <f>IF(Worksheet!D59="","",Worksheet!D59)</f>
        <v/>
      </c>
      <c r="E59" t="str">
        <f>IF(Worksheet!B59="","",Worksheet!B59)</f>
        <v/>
      </c>
      <c r="F59" t="str">
        <f>IF(Worksheet!C59="","",Worksheet!C59)</f>
        <v/>
      </c>
    </row>
    <row r="60" spans="1:6" x14ac:dyDescent="0.25">
      <c r="A60" t="str">
        <f t="shared" si="1"/>
        <v/>
      </c>
      <c r="B60" s="2" t="str">
        <f>IF(Worksheet!D60="","",Worksheet!D60)</f>
        <v/>
      </c>
      <c r="E60" t="str">
        <f>IF(Worksheet!B60="","",Worksheet!B60)</f>
        <v/>
      </c>
      <c r="F60" t="str">
        <f>IF(Worksheet!C60="","",Worksheet!C60)</f>
        <v/>
      </c>
    </row>
    <row r="61" spans="1:6" x14ac:dyDescent="0.25">
      <c r="A61" t="str">
        <f t="shared" si="1"/>
        <v/>
      </c>
      <c r="B61" s="2" t="str">
        <f>IF(Worksheet!D61="","",Worksheet!D61)</f>
        <v/>
      </c>
      <c r="E61" t="str">
        <f>IF(Worksheet!B61="","",Worksheet!B61)</f>
        <v/>
      </c>
      <c r="F61" t="str">
        <f>IF(Worksheet!C61="","",Worksheet!C61)</f>
        <v/>
      </c>
    </row>
    <row r="62" spans="1:6" x14ac:dyDescent="0.25">
      <c r="A62" t="str">
        <f t="shared" si="1"/>
        <v/>
      </c>
      <c r="B62" s="2" t="str">
        <f>IF(Worksheet!D62="","",Worksheet!D62)</f>
        <v/>
      </c>
      <c r="E62" t="str">
        <f>IF(Worksheet!B62="","",Worksheet!B62)</f>
        <v/>
      </c>
      <c r="F62" t="str">
        <f>IF(Worksheet!C62="","",Worksheet!C62)</f>
        <v/>
      </c>
    </row>
    <row r="63" spans="1:6" x14ac:dyDescent="0.25">
      <c r="A63" t="str">
        <f t="shared" si="1"/>
        <v/>
      </c>
      <c r="B63" s="2" t="str">
        <f>IF(Worksheet!D63="","",Worksheet!D63)</f>
        <v/>
      </c>
      <c r="E63" t="str">
        <f>IF(Worksheet!B63="","",Worksheet!B63)</f>
        <v/>
      </c>
      <c r="F63" t="str">
        <f>IF(Worksheet!C63="","",Worksheet!C63)</f>
        <v/>
      </c>
    </row>
    <row r="64" spans="1:6" x14ac:dyDescent="0.25">
      <c r="A64" t="str">
        <f t="shared" si="1"/>
        <v/>
      </c>
      <c r="B64" s="2" t="str">
        <f>IF(Worksheet!D64="","",Worksheet!D64)</f>
        <v/>
      </c>
      <c r="E64" t="str">
        <f>IF(Worksheet!B64="","",Worksheet!B64)</f>
        <v/>
      </c>
      <c r="F64" t="str">
        <f>IF(Worksheet!C64="","",Worksheet!C64)</f>
        <v/>
      </c>
    </row>
    <row r="65" spans="1:6" x14ac:dyDescent="0.25">
      <c r="A65" t="str">
        <f t="shared" si="1"/>
        <v/>
      </c>
      <c r="B65" s="2" t="str">
        <f>IF(Worksheet!D65="","",Worksheet!D65)</f>
        <v/>
      </c>
      <c r="E65" t="str">
        <f>IF(Worksheet!B65="","",Worksheet!B65)</f>
        <v/>
      </c>
      <c r="F65" t="str">
        <f>IF(Worksheet!C65="","",Worksheet!C65)</f>
        <v/>
      </c>
    </row>
    <row r="66" spans="1:6" x14ac:dyDescent="0.25">
      <c r="A66" t="str">
        <f t="shared" si="1"/>
        <v/>
      </c>
      <c r="B66" s="2" t="str">
        <f>IF(Worksheet!D66="","",Worksheet!D66)</f>
        <v/>
      </c>
      <c r="E66" t="str">
        <f>IF(Worksheet!B66="","",Worksheet!B66)</f>
        <v/>
      </c>
      <c r="F66" t="str">
        <f>IF(Worksheet!C66="","",Worksheet!C66)</f>
        <v/>
      </c>
    </row>
    <row r="67" spans="1:6" x14ac:dyDescent="0.25">
      <c r="A67" t="str">
        <f t="shared" si="1"/>
        <v/>
      </c>
      <c r="B67" s="2" t="str">
        <f>IF(Worksheet!D67="","",Worksheet!D67)</f>
        <v/>
      </c>
      <c r="E67" t="str">
        <f>IF(Worksheet!B67="","",Worksheet!B67)</f>
        <v/>
      </c>
      <c r="F67" t="str">
        <f>IF(Worksheet!C67="","",Worksheet!C67)</f>
        <v/>
      </c>
    </row>
    <row r="68" spans="1:6" x14ac:dyDescent="0.25">
      <c r="A68" t="str">
        <f t="shared" si="1"/>
        <v/>
      </c>
      <c r="B68" s="2" t="str">
        <f>IF(Worksheet!D68="","",Worksheet!D68)</f>
        <v/>
      </c>
      <c r="E68" t="str">
        <f>IF(Worksheet!B68="","",Worksheet!B68)</f>
        <v/>
      </c>
      <c r="F68" t="str">
        <f>IF(Worksheet!C68="","",Worksheet!C68)</f>
        <v/>
      </c>
    </row>
    <row r="69" spans="1:6" x14ac:dyDescent="0.25">
      <c r="A69" t="str">
        <f t="shared" si="1"/>
        <v/>
      </c>
      <c r="B69" s="2" t="str">
        <f>IF(Worksheet!D69="","",Worksheet!D69)</f>
        <v/>
      </c>
      <c r="E69" t="str">
        <f>IF(Worksheet!B69="","",Worksheet!B69)</f>
        <v/>
      </c>
      <c r="F69" t="str">
        <f>IF(Worksheet!C69="","",Worksheet!C69)</f>
        <v/>
      </c>
    </row>
    <row r="70" spans="1:6" x14ac:dyDescent="0.25">
      <c r="A70" t="str">
        <f t="shared" si="1"/>
        <v/>
      </c>
      <c r="B70" s="2" t="str">
        <f>IF(Worksheet!D70="","",Worksheet!D70)</f>
        <v/>
      </c>
      <c r="E70" t="str">
        <f>IF(Worksheet!B70="","",Worksheet!B70)</f>
        <v/>
      </c>
      <c r="F70" t="str">
        <f>IF(Worksheet!C70="","",Worksheet!C70)</f>
        <v/>
      </c>
    </row>
    <row r="71" spans="1:6" x14ac:dyDescent="0.25">
      <c r="A71" t="str">
        <f t="shared" si="1"/>
        <v/>
      </c>
      <c r="B71" s="2" t="str">
        <f>IF(Worksheet!D71="","",Worksheet!D71)</f>
        <v/>
      </c>
      <c r="E71" t="str">
        <f>IF(Worksheet!B71="","",Worksheet!B71)</f>
        <v/>
      </c>
      <c r="F71" t="str">
        <f>IF(Worksheet!C71="","",Worksheet!C71)</f>
        <v/>
      </c>
    </row>
    <row r="72" spans="1:6" x14ac:dyDescent="0.25">
      <c r="A72" t="str">
        <f t="shared" si="1"/>
        <v/>
      </c>
      <c r="B72" s="2" t="str">
        <f>IF(Worksheet!D72="","",Worksheet!D72)</f>
        <v/>
      </c>
      <c r="E72" t="str">
        <f>IF(Worksheet!B72="","",Worksheet!B72)</f>
        <v/>
      </c>
      <c r="F72" t="str">
        <f>IF(Worksheet!C72="","",Worksheet!C72)</f>
        <v/>
      </c>
    </row>
    <row r="73" spans="1:6" x14ac:dyDescent="0.25">
      <c r="A73" t="str">
        <f t="shared" si="1"/>
        <v/>
      </c>
      <c r="B73" s="2" t="str">
        <f>IF(Worksheet!D73="","",Worksheet!D73)</f>
        <v/>
      </c>
      <c r="E73" t="str">
        <f>IF(Worksheet!B73="","",Worksheet!B73)</f>
        <v/>
      </c>
      <c r="F73" t="str">
        <f>IF(Worksheet!C73="","",Worksheet!C73)</f>
        <v/>
      </c>
    </row>
    <row r="74" spans="1:6" x14ac:dyDescent="0.25">
      <c r="A74" t="str">
        <f t="shared" si="1"/>
        <v/>
      </c>
      <c r="B74" s="2" t="str">
        <f>IF(Worksheet!D74="","",Worksheet!D74)</f>
        <v/>
      </c>
      <c r="E74" t="str">
        <f>IF(Worksheet!B74="","",Worksheet!B74)</f>
        <v/>
      </c>
      <c r="F74" t="str">
        <f>IF(Worksheet!C74="","",Worksheet!C74)</f>
        <v/>
      </c>
    </row>
    <row r="75" spans="1:6" x14ac:dyDescent="0.25">
      <c r="A75" t="str">
        <f t="shared" si="1"/>
        <v/>
      </c>
      <c r="B75" s="2" t="str">
        <f>IF(Worksheet!D75="","",Worksheet!D75)</f>
        <v/>
      </c>
      <c r="E75" t="str">
        <f>IF(Worksheet!B75="","",Worksheet!B75)</f>
        <v/>
      </c>
      <c r="F75" t="str">
        <f>IF(Worksheet!C75="","",Worksheet!C75)</f>
        <v/>
      </c>
    </row>
    <row r="76" spans="1:6" x14ac:dyDescent="0.25">
      <c r="A76" t="str">
        <f t="shared" si="1"/>
        <v/>
      </c>
      <c r="B76" s="2" t="str">
        <f>IF(Worksheet!D76="","",Worksheet!D76)</f>
        <v/>
      </c>
      <c r="E76" t="str">
        <f>IF(Worksheet!B76="","",Worksheet!B76)</f>
        <v/>
      </c>
      <c r="F76" t="str">
        <f>IF(Worksheet!C76="","",Worksheet!C76)</f>
        <v/>
      </c>
    </row>
    <row r="77" spans="1:6" x14ac:dyDescent="0.25">
      <c r="A77" t="str">
        <f t="shared" si="1"/>
        <v/>
      </c>
      <c r="B77" s="2" t="str">
        <f>IF(Worksheet!D77="","",Worksheet!D77)</f>
        <v/>
      </c>
      <c r="E77" t="str">
        <f>IF(Worksheet!B77="","",Worksheet!B77)</f>
        <v/>
      </c>
      <c r="F77" t="str">
        <f>IF(Worksheet!C77="","",Worksheet!C77)</f>
        <v/>
      </c>
    </row>
    <row r="78" spans="1:6" x14ac:dyDescent="0.25">
      <c r="A78" t="str">
        <f t="shared" si="1"/>
        <v/>
      </c>
      <c r="B78" s="2" t="str">
        <f>IF(Worksheet!D78="","",Worksheet!D78)</f>
        <v/>
      </c>
      <c r="E78" t="str">
        <f>IF(Worksheet!B78="","",Worksheet!B78)</f>
        <v/>
      </c>
      <c r="F78" t="str">
        <f>IF(Worksheet!C78="","",Worksheet!C78)</f>
        <v/>
      </c>
    </row>
    <row r="79" spans="1:6" x14ac:dyDescent="0.25">
      <c r="A79" t="str">
        <f t="shared" si="1"/>
        <v/>
      </c>
      <c r="B79" s="2" t="str">
        <f>IF(Worksheet!D79="","",Worksheet!D79)</f>
        <v/>
      </c>
      <c r="E79" t="str">
        <f>IF(Worksheet!B79="","",Worksheet!B79)</f>
        <v/>
      </c>
      <c r="F79" t="str">
        <f>IF(Worksheet!C79="","",Worksheet!C79)</f>
        <v/>
      </c>
    </row>
    <row r="80" spans="1:6" x14ac:dyDescent="0.25">
      <c r="A80" t="str">
        <f t="shared" si="1"/>
        <v/>
      </c>
      <c r="B80" s="2" t="str">
        <f>IF(Worksheet!D80="","",Worksheet!D80)</f>
        <v/>
      </c>
      <c r="E80" t="str">
        <f>IF(Worksheet!B80="","",Worksheet!B80)</f>
        <v/>
      </c>
      <c r="F80" t="str">
        <f>IF(Worksheet!C80="","",Worksheet!C80)</f>
        <v/>
      </c>
    </row>
    <row r="81" spans="1:6" x14ac:dyDescent="0.25">
      <c r="A81" t="str">
        <f t="shared" si="1"/>
        <v/>
      </c>
      <c r="B81" s="2" t="str">
        <f>IF(Worksheet!D81="","",Worksheet!D81)</f>
        <v/>
      </c>
      <c r="E81" t="str">
        <f>IF(Worksheet!B81="","",Worksheet!B81)</f>
        <v/>
      </c>
      <c r="F81" t="str">
        <f>IF(Worksheet!C81="","",Worksheet!C81)</f>
        <v/>
      </c>
    </row>
    <row r="82" spans="1:6" x14ac:dyDescent="0.25">
      <c r="A82" t="str">
        <f t="shared" si="1"/>
        <v/>
      </c>
      <c r="B82" s="2" t="str">
        <f>IF(Worksheet!D82="","",Worksheet!D82)</f>
        <v/>
      </c>
      <c r="E82" t="str">
        <f>IF(Worksheet!B82="","",Worksheet!B82)</f>
        <v/>
      </c>
      <c r="F82" t="str">
        <f>IF(Worksheet!C82="","",Worksheet!C82)</f>
        <v/>
      </c>
    </row>
    <row r="83" spans="1:6" x14ac:dyDescent="0.25">
      <c r="A83" t="str">
        <f t="shared" si="1"/>
        <v/>
      </c>
      <c r="B83" s="2" t="str">
        <f>IF(Worksheet!D83="","",Worksheet!D83)</f>
        <v/>
      </c>
      <c r="E83" t="str">
        <f>IF(Worksheet!B83="","",Worksheet!B83)</f>
        <v/>
      </c>
      <c r="F83" t="str">
        <f>IF(Worksheet!C83="","",Worksheet!C83)</f>
        <v/>
      </c>
    </row>
    <row r="84" spans="1:6" x14ac:dyDescent="0.25">
      <c r="A84" t="str">
        <f t="shared" si="1"/>
        <v/>
      </c>
      <c r="B84" s="2" t="str">
        <f>IF(Worksheet!D84="","",Worksheet!D84)</f>
        <v/>
      </c>
      <c r="E84" t="str">
        <f>IF(Worksheet!B84="","",Worksheet!B84)</f>
        <v/>
      </c>
      <c r="F84" t="str">
        <f>IF(Worksheet!C84="","",Worksheet!C84)</f>
        <v/>
      </c>
    </row>
    <row r="85" spans="1:6" x14ac:dyDescent="0.25">
      <c r="A85" t="str">
        <f t="shared" si="1"/>
        <v/>
      </c>
      <c r="B85" s="2" t="str">
        <f>IF(Worksheet!D85="","",Worksheet!D85)</f>
        <v/>
      </c>
      <c r="E85" t="str">
        <f>IF(Worksheet!B85="","",Worksheet!B85)</f>
        <v/>
      </c>
      <c r="F85" t="str">
        <f>IF(Worksheet!C85="","",Worksheet!C85)</f>
        <v/>
      </c>
    </row>
    <row r="86" spans="1:6" x14ac:dyDescent="0.25">
      <c r="A86" t="str">
        <f t="shared" si="1"/>
        <v/>
      </c>
      <c r="B86" s="2" t="str">
        <f>IF(Worksheet!D86="","",Worksheet!D86)</f>
        <v/>
      </c>
      <c r="E86" t="str">
        <f>IF(Worksheet!B86="","",Worksheet!B86)</f>
        <v/>
      </c>
      <c r="F86" t="str">
        <f>IF(Worksheet!C86="","",Worksheet!C86)</f>
        <v/>
      </c>
    </row>
    <row r="87" spans="1:6" x14ac:dyDescent="0.25">
      <c r="A87" t="str">
        <f t="shared" si="1"/>
        <v/>
      </c>
      <c r="B87" s="2" t="str">
        <f>IF(Worksheet!D87="","",Worksheet!D87)</f>
        <v/>
      </c>
      <c r="E87" t="str">
        <f>IF(Worksheet!B87="","",Worksheet!B87)</f>
        <v/>
      </c>
      <c r="F87" t="str">
        <f>IF(Worksheet!C87="","",Worksheet!C87)</f>
        <v/>
      </c>
    </row>
    <row r="88" spans="1:6" x14ac:dyDescent="0.25">
      <c r="A88" t="str">
        <f t="shared" si="1"/>
        <v/>
      </c>
      <c r="B88" s="2" t="str">
        <f>IF(Worksheet!D88="","",Worksheet!D88)</f>
        <v/>
      </c>
      <c r="E88" t="str">
        <f>IF(Worksheet!B88="","",Worksheet!B88)</f>
        <v/>
      </c>
      <c r="F88" t="str">
        <f>IF(Worksheet!C88="","",Worksheet!C88)</f>
        <v/>
      </c>
    </row>
    <row r="89" spans="1:6" x14ac:dyDescent="0.25">
      <c r="A89" t="str">
        <f t="shared" si="1"/>
        <v/>
      </c>
      <c r="B89" s="2" t="str">
        <f>IF(Worksheet!D89="","",Worksheet!D89)</f>
        <v/>
      </c>
      <c r="E89" t="str">
        <f>IF(Worksheet!B89="","",Worksheet!B89)</f>
        <v/>
      </c>
      <c r="F89" t="str">
        <f>IF(Worksheet!C89="","",Worksheet!C89)</f>
        <v/>
      </c>
    </row>
    <row r="90" spans="1:6" x14ac:dyDescent="0.25">
      <c r="A90" t="str">
        <f t="shared" si="1"/>
        <v/>
      </c>
      <c r="B90" s="2" t="str">
        <f>IF(Worksheet!D90="","",Worksheet!D90)</f>
        <v/>
      </c>
      <c r="E90" t="str">
        <f>IF(Worksheet!B90="","",Worksheet!B90)</f>
        <v/>
      </c>
      <c r="F90" t="str">
        <f>IF(Worksheet!C90="","",Worksheet!C90)</f>
        <v/>
      </c>
    </row>
    <row r="91" spans="1:6" x14ac:dyDescent="0.25">
      <c r="A91" t="str">
        <f t="shared" si="1"/>
        <v/>
      </c>
      <c r="B91" s="2" t="str">
        <f>IF(Worksheet!D91="","",Worksheet!D91)</f>
        <v/>
      </c>
      <c r="E91" t="str">
        <f>IF(Worksheet!B91="","",Worksheet!B91)</f>
        <v/>
      </c>
      <c r="F91" t="str">
        <f>IF(Worksheet!C91="","",Worksheet!C91)</f>
        <v/>
      </c>
    </row>
    <row r="92" spans="1:6" x14ac:dyDescent="0.25">
      <c r="A92" t="str">
        <f t="shared" si="1"/>
        <v/>
      </c>
      <c r="B92" s="2" t="str">
        <f>IF(Worksheet!D92="","",Worksheet!D92)</f>
        <v/>
      </c>
      <c r="E92" t="str">
        <f>IF(Worksheet!B92="","",Worksheet!B92)</f>
        <v/>
      </c>
      <c r="F92" t="str">
        <f>IF(Worksheet!C92="","",Worksheet!C92)</f>
        <v/>
      </c>
    </row>
    <row r="93" spans="1:6" x14ac:dyDescent="0.25">
      <c r="A93" t="str">
        <f t="shared" si="1"/>
        <v/>
      </c>
      <c r="B93" s="2" t="str">
        <f>IF(Worksheet!D93="","",Worksheet!D93)</f>
        <v/>
      </c>
      <c r="E93" t="str">
        <f>IF(Worksheet!B93="","",Worksheet!B93)</f>
        <v/>
      </c>
      <c r="F93" t="str">
        <f>IF(Worksheet!C93="","",Worksheet!C93)</f>
        <v/>
      </c>
    </row>
    <row r="94" spans="1:6" x14ac:dyDescent="0.25">
      <c r="A94" t="str">
        <f t="shared" si="1"/>
        <v/>
      </c>
      <c r="B94" s="2" t="str">
        <f>IF(Worksheet!D94="","",Worksheet!D94)</f>
        <v/>
      </c>
      <c r="E94" t="str">
        <f>IF(Worksheet!B94="","",Worksheet!B94)</f>
        <v/>
      </c>
      <c r="F94" t="str">
        <f>IF(Worksheet!C94="","",Worksheet!C94)</f>
        <v/>
      </c>
    </row>
    <row r="95" spans="1:6" x14ac:dyDescent="0.25">
      <c r="A95" t="str">
        <f t="shared" ref="A95:A101" si="2">IF(B95="","","S")</f>
        <v/>
      </c>
      <c r="B95" s="2" t="str">
        <f>IF(Worksheet!D95="","",Worksheet!D95)</f>
        <v/>
      </c>
      <c r="E95" t="str">
        <f>IF(Worksheet!B95="","",Worksheet!B95)</f>
        <v/>
      </c>
      <c r="F95" t="str">
        <f>IF(Worksheet!C95="","",Worksheet!C95)</f>
        <v/>
      </c>
    </row>
    <row r="96" spans="1:6" x14ac:dyDescent="0.25">
      <c r="A96" t="str">
        <f t="shared" si="2"/>
        <v/>
      </c>
      <c r="B96" s="2" t="str">
        <f>IF(Worksheet!D96="","",Worksheet!D96)</f>
        <v/>
      </c>
      <c r="E96" t="str">
        <f>IF(Worksheet!B96="","",Worksheet!B96)</f>
        <v/>
      </c>
      <c r="F96" t="str">
        <f>IF(Worksheet!C96="","",Worksheet!C96)</f>
        <v/>
      </c>
    </row>
    <row r="97" spans="1:6" x14ac:dyDescent="0.25">
      <c r="A97" t="str">
        <f t="shared" si="2"/>
        <v/>
      </c>
      <c r="B97" s="2" t="str">
        <f>IF(Worksheet!D97="","",Worksheet!D97)</f>
        <v/>
      </c>
      <c r="E97" t="str">
        <f>IF(Worksheet!B97="","",Worksheet!B97)</f>
        <v/>
      </c>
      <c r="F97" t="str">
        <f>IF(Worksheet!C97="","",Worksheet!C97)</f>
        <v/>
      </c>
    </row>
    <row r="98" spans="1:6" x14ac:dyDescent="0.25">
      <c r="A98" t="str">
        <f t="shared" si="2"/>
        <v/>
      </c>
      <c r="B98" s="2" t="str">
        <f>IF(Worksheet!D98="","",Worksheet!D98)</f>
        <v/>
      </c>
      <c r="E98" t="str">
        <f>IF(Worksheet!B98="","",Worksheet!B98)</f>
        <v/>
      </c>
      <c r="F98" t="str">
        <f>IF(Worksheet!C98="","",Worksheet!C98)</f>
        <v/>
      </c>
    </row>
    <row r="99" spans="1:6" x14ac:dyDescent="0.25">
      <c r="A99" t="str">
        <f t="shared" si="2"/>
        <v/>
      </c>
      <c r="B99" s="2" t="str">
        <f>IF(Worksheet!D99="","",Worksheet!D99)</f>
        <v/>
      </c>
      <c r="E99" t="str">
        <f>IF(Worksheet!B99="","",Worksheet!B99)</f>
        <v/>
      </c>
      <c r="F99" t="str">
        <f>IF(Worksheet!C99="","",Worksheet!C99)</f>
        <v/>
      </c>
    </row>
    <row r="100" spans="1:6" x14ac:dyDescent="0.25">
      <c r="A100" t="str">
        <f t="shared" si="2"/>
        <v/>
      </c>
      <c r="B100" s="2" t="str">
        <f>IF(Worksheet!D100="","",Worksheet!D100)</f>
        <v/>
      </c>
      <c r="E100" t="str">
        <f>IF(Worksheet!B100="","",Worksheet!B100)</f>
        <v/>
      </c>
      <c r="F100" t="str">
        <f>IF(Worksheet!C100="","",Worksheet!C100)</f>
        <v/>
      </c>
    </row>
    <row r="101" spans="1:6" x14ac:dyDescent="0.25">
      <c r="A101" t="str">
        <f t="shared" si="2"/>
        <v/>
      </c>
      <c r="B101" s="2" t="str">
        <f>IF(Worksheet!D101="","",Worksheet!D101)</f>
        <v/>
      </c>
      <c r="E101" t="str">
        <f>IF(Worksheet!B101="","",Worksheet!B101)</f>
        <v/>
      </c>
      <c r="F101" t="str">
        <f>IF(Worksheet!C101="","",Worksheet!C101)</f>
        <v/>
      </c>
    </row>
    <row r="102" spans="1:6" x14ac:dyDescent="0.25">
      <c r="A102" t="str">
        <f t="shared" ref="A102:A165" si="3">IF(B102="","","S")</f>
        <v/>
      </c>
      <c r="B102" s="2" t="str">
        <f>IF(Worksheet!D102="","",Worksheet!D102)</f>
        <v/>
      </c>
      <c r="E102" t="str">
        <f>IF(Worksheet!B102="","",Worksheet!B102)</f>
        <v/>
      </c>
      <c r="F102" t="str">
        <f>IF(Worksheet!C102="","",Worksheet!C102)</f>
        <v/>
      </c>
    </row>
    <row r="103" spans="1:6" x14ac:dyDescent="0.25">
      <c r="A103" t="str">
        <f t="shared" si="3"/>
        <v/>
      </c>
      <c r="B103" s="2" t="str">
        <f>IF(Worksheet!D103="","",Worksheet!D103)</f>
        <v/>
      </c>
      <c r="E103" t="str">
        <f>IF(Worksheet!B103="","",Worksheet!B103)</f>
        <v/>
      </c>
      <c r="F103" t="str">
        <f>IF(Worksheet!C103="","",Worksheet!C103)</f>
        <v/>
      </c>
    </row>
    <row r="104" spans="1:6" x14ac:dyDescent="0.25">
      <c r="A104" t="str">
        <f t="shared" si="3"/>
        <v/>
      </c>
      <c r="B104" s="2" t="str">
        <f>IF(Worksheet!D104="","",Worksheet!D104)</f>
        <v/>
      </c>
      <c r="E104" t="str">
        <f>IF(Worksheet!B104="","",Worksheet!B104)</f>
        <v/>
      </c>
      <c r="F104" t="str">
        <f>IF(Worksheet!C104="","",Worksheet!C104)</f>
        <v/>
      </c>
    </row>
    <row r="105" spans="1:6" x14ac:dyDescent="0.25">
      <c r="A105" t="str">
        <f t="shared" si="3"/>
        <v/>
      </c>
      <c r="B105" s="2" t="str">
        <f>IF(Worksheet!D105="","",Worksheet!D105)</f>
        <v/>
      </c>
      <c r="E105" t="str">
        <f>IF(Worksheet!B105="","",Worksheet!B105)</f>
        <v/>
      </c>
      <c r="F105" t="str">
        <f>IF(Worksheet!C105="","",Worksheet!C105)</f>
        <v/>
      </c>
    </row>
    <row r="106" spans="1:6" x14ac:dyDescent="0.25">
      <c r="A106" t="str">
        <f t="shared" si="3"/>
        <v/>
      </c>
      <c r="B106" s="2" t="str">
        <f>IF(Worksheet!D106="","",Worksheet!D106)</f>
        <v/>
      </c>
      <c r="E106" t="str">
        <f>IF(Worksheet!B106="","",Worksheet!B106)</f>
        <v/>
      </c>
      <c r="F106" t="str">
        <f>IF(Worksheet!C106="","",Worksheet!C106)</f>
        <v/>
      </c>
    </row>
    <row r="107" spans="1:6" x14ac:dyDescent="0.25">
      <c r="A107" t="str">
        <f t="shared" si="3"/>
        <v/>
      </c>
      <c r="B107" s="2" t="str">
        <f>IF(Worksheet!D107="","",Worksheet!D107)</f>
        <v/>
      </c>
      <c r="E107" t="str">
        <f>IF(Worksheet!B107="","",Worksheet!B107)</f>
        <v/>
      </c>
      <c r="F107" t="str">
        <f>IF(Worksheet!C107="","",Worksheet!C107)</f>
        <v/>
      </c>
    </row>
    <row r="108" spans="1:6" x14ac:dyDescent="0.25">
      <c r="A108" t="str">
        <f t="shared" si="3"/>
        <v/>
      </c>
      <c r="B108" s="2" t="str">
        <f>IF(Worksheet!D108="","",Worksheet!D108)</f>
        <v/>
      </c>
      <c r="E108" t="str">
        <f>IF(Worksheet!B108="","",Worksheet!B108)</f>
        <v/>
      </c>
      <c r="F108" t="str">
        <f>IF(Worksheet!C108="","",Worksheet!C108)</f>
        <v/>
      </c>
    </row>
    <row r="109" spans="1:6" x14ac:dyDescent="0.25">
      <c r="A109" t="str">
        <f t="shared" si="3"/>
        <v/>
      </c>
      <c r="B109" s="2" t="str">
        <f>IF(Worksheet!D109="","",Worksheet!D109)</f>
        <v/>
      </c>
      <c r="E109" t="str">
        <f>IF(Worksheet!B109="","",Worksheet!B109)</f>
        <v/>
      </c>
      <c r="F109" t="str">
        <f>IF(Worksheet!C109="","",Worksheet!C109)</f>
        <v/>
      </c>
    </row>
    <row r="110" spans="1:6" x14ac:dyDescent="0.25">
      <c r="A110" t="str">
        <f t="shared" si="3"/>
        <v/>
      </c>
      <c r="B110" s="2" t="str">
        <f>IF(Worksheet!D110="","",Worksheet!D110)</f>
        <v/>
      </c>
      <c r="E110" t="str">
        <f>IF(Worksheet!B110="","",Worksheet!B110)</f>
        <v/>
      </c>
      <c r="F110" t="str">
        <f>IF(Worksheet!C110="","",Worksheet!C110)</f>
        <v/>
      </c>
    </row>
    <row r="111" spans="1:6" x14ac:dyDescent="0.25">
      <c r="A111" t="str">
        <f t="shared" si="3"/>
        <v/>
      </c>
      <c r="B111" s="2" t="str">
        <f>IF(Worksheet!D111="","",Worksheet!D111)</f>
        <v/>
      </c>
      <c r="E111" t="str">
        <f>IF(Worksheet!B111="","",Worksheet!B111)</f>
        <v/>
      </c>
      <c r="F111" t="str">
        <f>IF(Worksheet!C111="","",Worksheet!C111)</f>
        <v/>
      </c>
    </row>
    <row r="112" spans="1:6" x14ac:dyDescent="0.25">
      <c r="A112" t="str">
        <f t="shared" si="3"/>
        <v/>
      </c>
      <c r="B112" s="2" t="str">
        <f>IF(Worksheet!D112="","",Worksheet!D112)</f>
        <v/>
      </c>
      <c r="E112" t="str">
        <f>IF(Worksheet!B112="","",Worksheet!B112)</f>
        <v/>
      </c>
      <c r="F112" t="str">
        <f>IF(Worksheet!C112="","",Worksheet!C112)</f>
        <v/>
      </c>
    </row>
    <row r="113" spans="1:6" x14ac:dyDescent="0.25">
      <c r="A113" t="str">
        <f t="shared" si="3"/>
        <v/>
      </c>
      <c r="B113" s="2" t="str">
        <f>IF(Worksheet!D113="","",Worksheet!D113)</f>
        <v/>
      </c>
      <c r="E113" t="str">
        <f>IF(Worksheet!B113="","",Worksheet!B113)</f>
        <v/>
      </c>
      <c r="F113" t="str">
        <f>IF(Worksheet!C113="","",Worksheet!C113)</f>
        <v/>
      </c>
    </row>
    <row r="114" spans="1:6" x14ac:dyDescent="0.25">
      <c r="A114" t="str">
        <f t="shared" si="3"/>
        <v/>
      </c>
      <c r="B114" s="2" t="str">
        <f>IF(Worksheet!D114="","",Worksheet!D114)</f>
        <v/>
      </c>
      <c r="E114" t="str">
        <f>IF(Worksheet!B114="","",Worksheet!B114)</f>
        <v/>
      </c>
      <c r="F114" t="str">
        <f>IF(Worksheet!C114="","",Worksheet!C114)</f>
        <v/>
      </c>
    </row>
    <row r="115" spans="1:6" x14ac:dyDescent="0.25">
      <c r="A115" t="str">
        <f t="shared" si="3"/>
        <v/>
      </c>
      <c r="B115" s="2" t="str">
        <f>IF(Worksheet!D115="","",Worksheet!D115)</f>
        <v/>
      </c>
      <c r="E115" t="str">
        <f>IF(Worksheet!B115="","",Worksheet!B115)</f>
        <v/>
      </c>
      <c r="F115" t="str">
        <f>IF(Worksheet!C115="","",Worksheet!C115)</f>
        <v/>
      </c>
    </row>
    <row r="116" spans="1:6" x14ac:dyDescent="0.25">
      <c r="A116" t="str">
        <f t="shared" si="3"/>
        <v/>
      </c>
      <c r="B116" s="2" t="str">
        <f>IF(Worksheet!D116="","",Worksheet!D116)</f>
        <v/>
      </c>
      <c r="E116" t="str">
        <f>IF(Worksheet!B116="","",Worksheet!B116)</f>
        <v/>
      </c>
      <c r="F116" t="str">
        <f>IF(Worksheet!C116="","",Worksheet!C116)</f>
        <v/>
      </c>
    </row>
    <row r="117" spans="1:6" x14ac:dyDescent="0.25">
      <c r="A117" t="str">
        <f t="shared" si="3"/>
        <v/>
      </c>
      <c r="B117" s="2" t="str">
        <f>IF(Worksheet!D117="","",Worksheet!D117)</f>
        <v/>
      </c>
      <c r="E117" t="str">
        <f>IF(Worksheet!B117="","",Worksheet!B117)</f>
        <v/>
      </c>
      <c r="F117" t="str">
        <f>IF(Worksheet!C117="","",Worksheet!C117)</f>
        <v/>
      </c>
    </row>
    <row r="118" spans="1:6" x14ac:dyDescent="0.25">
      <c r="A118" t="str">
        <f t="shared" si="3"/>
        <v/>
      </c>
      <c r="B118" s="2" t="str">
        <f>IF(Worksheet!D118="","",Worksheet!D118)</f>
        <v/>
      </c>
      <c r="E118" t="str">
        <f>IF(Worksheet!B118="","",Worksheet!B118)</f>
        <v/>
      </c>
      <c r="F118" t="str">
        <f>IF(Worksheet!C118="","",Worksheet!C118)</f>
        <v/>
      </c>
    </row>
    <row r="119" spans="1:6" x14ac:dyDescent="0.25">
      <c r="A119" t="str">
        <f t="shared" si="3"/>
        <v/>
      </c>
      <c r="B119" s="2" t="str">
        <f>IF(Worksheet!D119="","",Worksheet!D119)</f>
        <v/>
      </c>
      <c r="E119" t="str">
        <f>IF(Worksheet!B119="","",Worksheet!B119)</f>
        <v/>
      </c>
      <c r="F119" t="str">
        <f>IF(Worksheet!C119="","",Worksheet!C119)</f>
        <v/>
      </c>
    </row>
    <row r="120" spans="1:6" x14ac:dyDescent="0.25">
      <c r="A120" t="str">
        <f t="shared" si="3"/>
        <v/>
      </c>
      <c r="B120" s="2" t="str">
        <f>IF(Worksheet!D120="","",Worksheet!D120)</f>
        <v/>
      </c>
      <c r="E120" t="str">
        <f>IF(Worksheet!B120="","",Worksheet!B120)</f>
        <v/>
      </c>
      <c r="F120" t="str">
        <f>IF(Worksheet!C120="","",Worksheet!C120)</f>
        <v/>
      </c>
    </row>
    <row r="121" spans="1:6" x14ac:dyDescent="0.25">
      <c r="A121" t="str">
        <f t="shared" si="3"/>
        <v/>
      </c>
      <c r="B121" s="2" t="str">
        <f>IF(Worksheet!D121="","",Worksheet!D121)</f>
        <v/>
      </c>
      <c r="E121" t="str">
        <f>IF(Worksheet!B121="","",Worksheet!B121)</f>
        <v/>
      </c>
      <c r="F121" t="str">
        <f>IF(Worksheet!C121="","",Worksheet!C121)</f>
        <v/>
      </c>
    </row>
    <row r="122" spans="1:6" x14ac:dyDescent="0.25">
      <c r="A122" t="str">
        <f t="shared" si="3"/>
        <v/>
      </c>
      <c r="B122" s="2" t="str">
        <f>IF(Worksheet!D122="","",Worksheet!D122)</f>
        <v/>
      </c>
      <c r="E122" t="str">
        <f>IF(Worksheet!B122="","",Worksheet!B122)</f>
        <v/>
      </c>
      <c r="F122" t="str">
        <f>IF(Worksheet!C122="","",Worksheet!C122)</f>
        <v/>
      </c>
    </row>
    <row r="123" spans="1:6" x14ac:dyDescent="0.25">
      <c r="A123" t="str">
        <f t="shared" si="3"/>
        <v/>
      </c>
      <c r="B123" s="2" t="str">
        <f>IF(Worksheet!D123="","",Worksheet!D123)</f>
        <v/>
      </c>
      <c r="E123" t="str">
        <f>IF(Worksheet!B123="","",Worksheet!B123)</f>
        <v/>
      </c>
      <c r="F123" t="str">
        <f>IF(Worksheet!C123="","",Worksheet!C123)</f>
        <v/>
      </c>
    </row>
    <row r="124" spans="1:6" x14ac:dyDescent="0.25">
      <c r="A124" t="str">
        <f t="shared" si="3"/>
        <v/>
      </c>
      <c r="B124" s="2" t="str">
        <f>IF(Worksheet!D124="","",Worksheet!D124)</f>
        <v/>
      </c>
      <c r="E124" t="str">
        <f>IF(Worksheet!B124="","",Worksheet!B124)</f>
        <v/>
      </c>
      <c r="F124" t="str">
        <f>IF(Worksheet!C124="","",Worksheet!C124)</f>
        <v/>
      </c>
    </row>
    <row r="125" spans="1:6" x14ac:dyDescent="0.25">
      <c r="A125" t="str">
        <f t="shared" si="3"/>
        <v/>
      </c>
      <c r="B125" s="2" t="str">
        <f>IF(Worksheet!D125="","",Worksheet!D125)</f>
        <v/>
      </c>
      <c r="E125" t="str">
        <f>IF(Worksheet!B125="","",Worksheet!B125)</f>
        <v/>
      </c>
      <c r="F125" t="str">
        <f>IF(Worksheet!C125="","",Worksheet!C125)</f>
        <v/>
      </c>
    </row>
    <row r="126" spans="1:6" x14ac:dyDescent="0.25">
      <c r="A126" t="str">
        <f t="shared" si="3"/>
        <v/>
      </c>
      <c r="B126" s="2" t="str">
        <f>IF(Worksheet!D126="","",Worksheet!D126)</f>
        <v/>
      </c>
      <c r="E126" t="str">
        <f>IF(Worksheet!B126="","",Worksheet!B126)</f>
        <v/>
      </c>
      <c r="F126" t="str">
        <f>IF(Worksheet!C126="","",Worksheet!C126)</f>
        <v/>
      </c>
    </row>
    <row r="127" spans="1:6" x14ac:dyDescent="0.25">
      <c r="A127" t="str">
        <f t="shared" si="3"/>
        <v/>
      </c>
      <c r="B127" s="2" t="str">
        <f>IF(Worksheet!D127="","",Worksheet!D127)</f>
        <v/>
      </c>
      <c r="E127" t="str">
        <f>IF(Worksheet!B127="","",Worksheet!B127)</f>
        <v/>
      </c>
      <c r="F127" t="str">
        <f>IF(Worksheet!C127="","",Worksheet!C127)</f>
        <v/>
      </c>
    </row>
    <row r="128" spans="1:6" x14ac:dyDescent="0.25">
      <c r="A128" t="str">
        <f t="shared" si="3"/>
        <v/>
      </c>
      <c r="B128" s="2" t="str">
        <f>IF(Worksheet!D128="","",Worksheet!D128)</f>
        <v/>
      </c>
      <c r="E128" t="str">
        <f>IF(Worksheet!B128="","",Worksheet!B128)</f>
        <v/>
      </c>
      <c r="F128" t="str">
        <f>IF(Worksheet!C128="","",Worksheet!C128)</f>
        <v/>
      </c>
    </row>
    <row r="129" spans="1:6" x14ac:dyDescent="0.25">
      <c r="A129" t="str">
        <f t="shared" si="3"/>
        <v/>
      </c>
      <c r="B129" s="2" t="str">
        <f>IF(Worksheet!D129="","",Worksheet!D129)</f>
        <v/>
      </c>
      <c r="E129" t="str">
        <f>IF(Worksheet!B129="","",Worksheet!B129)</f>
        <v/>
      </c>
      <c r="F129" t="str">
        <f>IF(Worksheet!C129="","",Worksheet!C129)</f>
        <v/>
      </c>
    </row>
    <row r="130" spans="1:6" x14ac:dyDescent="0.25">
      <c r="A130" t="str">
        <f t="shared" si="3"/>
        <v/>
      </c>
      <c r="B130" s="2" t="str">
        <f>IF(Worksheet!D130="","",Worksheet!D130)</f>
        <v/>
      </c>
      <c r="E130" t="str">
        <f>IF(Worksheet!B130="","",Worksheet!B130)</f>
        <v/>
      </c>
      <c r="F130" t="str">
        <f>IF(Worksheet!C130="","",Worksheet!C130)</f>
        <v/>
      </c>
    </row>
    <row r="131" spans="1:6" x14ac:dyDescent="0.25">
      <c r="A131" t="str">
        <f t="shared" si="3"/>
        <v/>
      </c>
      <c r="B131" s="2" t="str">
        <f>IF(Worksheet!D131="","",Worksheet!D131)</f>
        <v/>
      </c>
      <c r="E131" t="str">
        <f>IF(Worksheet!B131="","",Worksheet!B131)</f>
        <v/>
      </c>
      <c r="F131" t="str">
        <f>IF(Worksheet!C131="","",Worksheet!C131)</f>
        <v/>
      </c>
    </row>
    <row r="132" spans="1:6" x14ac:dyDescent="0.25">
      <c r="A132" t="str">
        <f t="shared" si="3"/>
        <v/>
      </c>
      <c r="B132" s="2" t="str">
        <f>IF(Worksheet!D132="","",Worksheet!D132)</f>
        <v/>
      </c>
      <c r="E132" t="str">
        <f>IF(Worksheet!B132="","",Worksheet!B132)</f>
        <v/>
      </c>
      <c r="F132" t="str">
        <f>IF(Worksheet!C132="","",Worksheet!C132)</f>
        <v/>
      </c>
    </row>
    <row r="133" spans="1:6" x14ac:dyDescent="0.25">
      <c r="A133" t="str">
        <f t="shared" si="3"/>
        <v/>
      </c>
      <c r="B133" s="2" t="str">
        <f>IF(Worksheet!D133="","",Worksheet!D133)</f>
        <v/>
      </c>
      <c r="E133" t="str">
        <f>IF(Worksheet!B133="","",Worksheet!B133)</f>
        <v/>
      </c>
      <c r="F133" t="str">
        <f>IF(Worksheet!C133="","",Worksheet!C133)</f>
        <v/>
      </c>
    </row>
    <row r="134" spans="1:6" x14ac:dyDescent="0.25">
      <c r="A134" t="str">
        <f t="shared" si="3"/>
        <v/>
      </c>
      <c r="B134" s="2" t="str">
        <f>IF(Worksheet!D134="","",Worksheet!D134)</f>
        <v/>
      </c>
      <c r="E134" t="str">
        <f>IF(Worksheet!B134="","",Worksheet!B134)</f>
        <v/>
      </c>
      <c r="F134" t="str">
        <f>IF(Worksheet!C134="","",Worksheet!C134)</f>
        <v/>
      </c>
    </row>
    <row r="135" spans="1:6" x14ac:dyDescent="0.25">
      <c r="A135" t="str">
        <f t="shared" si="3"/>
        <v/>
      </c>
      <c r="B135" s="2" t="str">
        <f>IF(Worksheet!D135="","",Worksheet!D135)</f>
        <v/>
      </c>
      <c r="E135" t="str">
        <f>IF(Worksheet!B135="","",Worksheet!B135)</f>
        <v/>
      </c>
      <c r="F135" t="str">
        <f>IF(Worksheet!C135="","",Worksheet!C135)</f>
        <v/>
      </c>
    </row>
    <row r="136" spans="1:6" x14ac:dyDescent="0.25">
      <c r="A136" t="str">
        <f t="shared" si="3"/>
        <v/>
      </c>
      <c r="B136" s="2" t="str">
        <f>IF(Worksheet!D136="","",Worksheet!D136)</f>
        <v/>
      </c>
      <c r="E136" t="str">
        <f>IF(Worksheet!B136="","",Worksheet!B136)</f>
        <v/>
      </c>
      <c r="F136" t="str">
        <f>IF(Worksheet!C136="","",Worksheet!C136)</f>
        <v/>
      </c>
    </row>
    <row r="137" spans="1:6" x14ac:dyDescent="0.25">
      <c r="A137" t="str">
        <f t="shared" si="3"/>
        <v/>
      </c>
      <c r="B137" s="2" t="str">
        <f>IF(Worksheet!D137="","",Worksheet!D137)</f>
        <v/>
      </c>
      <c r="E137" t="str">
        <f>IF(Worksheet!B137="","",Worksheet!B137)</f>
        <v/>
      </c>
      <c r="F137" t="str">
        <f>IF(Worksheet!C137="","",Worksheet!C137)</f>
        <v/>
      </c>
    </row>
    <row r="138" spans="1:6" x14ac:dyDescent="0.25">
      <c r="A138" t="str">
        <f t="shared" si="3"/>
        <v/>
      </c>
      <c r="B138" s="2" t="str">
        <f>IF(Worksheet!D138="","",Worksheet!D138)</f>
        <v/>
      </c>
      <c r="E138" t="str">
        <f>IF(Worksheet!B138="","",Worksheet!B138)</f>
        <v/>
      </c>
      <c r="F138" t="str">
        <f>IF(Worksheet!C138="","",Worksheet!C138)</f>
        <v/>
      </c>
    </row>
    <row r="139" spans="1:6" x14ac:dyDescent="0.25">
      <c r="A139" t="str">
        <f t="shared" si="3"/>
        <v/>
      </c>
      <c r="B139" s="2" t="str">
        <f>IF(Worksheet!D139="","",Worksheet!D139)</f>
        <v/>
      </c>
      <c r="E139" t="str">
        <f>IF(Worksheet!B139="","",Worksheet!B139)</f>
        <v/>
      </c>
      <c r="F139" t="str">
        <f>IF(Worksheet!C139="","",Worksheet!C139)</f>
        <v/>
      </c>
    </row>
    <row r="140" spans="1:6" x14ac:dyDescent="0.25">
      <c r="A140" t="str">
        <f t="shared" si="3"/>
        <v/>
      </c>
      <c r="B140" s="2" t="str">
        <f>IF(Worksheet!D140="","",Worksheet!D140)</f>
        <v/>
      </c>
      <c r="E140" t="str">
        <f>IF(Worksheet!B140="","",Worksheet!B140)</f>
        <v/>
      </c>
      <c r="F140" t="str">
        <f>IF(Worksheet!C140="","",Worksheet!C140)</f>
        <v/>
      </c>
    </row>
    <row r="141" spans="1:6" x14ac:dyDescent="0.25">
      <c r="A141" t="str">
        <f t="shared" si="3"/>
        <v/>
      </c>
      <c r="B141" s="2" t="str">
        <f>IF(Worksheet!D141="","",Worksheet!D141)</f>
        <v/>
      </c>
      <c r="E141" t="str">
        <f>IF(Worksheet!B141="","",Worksheet!B141)</f>
        <v/>
      </c>
      <c r="F141" t="str">
        <f>IF(Worksheet!C141="","",Worksheet!C141)</f>
        <v/>
      </c>
    </row>
    <row r="142" spans="1:6" x14ac:dyDescent="0.25">
      <c r="A142" t="str">
        <f t="shared" si="3"/>
        <v/>
      </c>
      <c r="B142" s="2" t="str">
        <f>IF(Worksheet!D142="","",Worksheet!D142)</f>
        <v/>
      </c>
      <c r="E142" t="str">
        <f>IF(Worksheet!B142="","",Worksheet!B142)</f>
        <v/>
      </c>
      <c r="F142" t="str">
        <f>IF(Worksheet!C142="","",Worksheet!C142)</f>
        <v/>
      </c>
    </row>
    <row r="143" spans="1:6" x14ac:dyDescent="0.25">
      <c r="A143" t="str">
        <f t="shared" si="3"/>
        <v/>
      </c>
      <c r="B143" s="2" t="str">
        <f>IF(Worksheet!D143="","",Worksheet!D143)</f>
        <v/>
      </c>
      <c r="E143" t="str">
        <f>IF(Worksheet!B143="","",Worksheet!B143)</f>
        <v/>
      </c>
      <c r="F143" t="str">
        <f>IF(Worksheet!C143="","",Worksheet!C143)</f>
        <v/>
      </c>
    </row>
    <row r="144" spans="1:6" x14ac:dyDescent="0.25">
      <c r="A144" t="str">
        <f t="shared" si="3"/>
        <v/>
      </c>
      <c r="B144" s="2" t="str">
        <f>IF(Worksheet!D144="","",Worksheet!D144)</f>
        <v/>
      </c>
      <c r="E144" t="str">
        <f>IF(Worksheet!B144="","",Worksheet!B144)</f>
        <v/>
      </c>
      <c r="F144" t="str">
        <f>IF(Worksheet!C144="","",Worksheet!C144)</f>
        <v/>
      </c>
    </row>
    <row r="145" spans="1:6" x14ac:dyDescent="0.25">
      <c r="A145" t="str">
        <f t="shared" si="3"/>
        <v/>
      </c>
      <c r="B145" s="2" t="str">
        <f>IF(Worksheet!D145="","",Worksheet!D145)</f>
        <v/>
      </c>
      <c r="E145" t="str">
        <f>IF(Worksheet!B145="","",Worksheet!B145)</f>
        <v/>
      </c>
      <c r="F145" t="str">
        <f>IF(Worksheet!C145="","",Worksheet!C145)</f>
        <v/>
      </c>
    </row>
    <row r="146" spans="1:6" x14ac:dyDescent="0.25">
      <c r="A146" t="str">
        <f t="shared" si="3"/>
        <v/>
      </c>
      <c r="B146" s="2" t="str">
        <f>IF(Worksheet!D146="","",Worksheet!D146)</f>
        <v/>
      </c>
      <c r="E146" t="str">
        <f>IF(Worksheet!B146="","",Worksheet!B146)</f>
        <v/>
      </c>
      <c r="F146" t="str">
        <f>IF(Worksheet!C146="","",Worksheet!C146)</f>
        <v/>
      </c>
    </row>
    <row r="147" spans="1:6" x14ac:dyDescent="0.25">
      <c r="A147" t="str">
        <f t="shared" si="3"/>
        <v/>
      </c>
      <c r="B147" s="2" t="str">
        <f>IF(Worksheet!D147="","",Worksheet!D147)</f>
        <v/>
      </c>
      <c r="E147" t="str">
        <f>IF(Worksheet!B147="","",Worksheet!B147)</f>
        <v/>
      </c>
      <c r="F147" t="str">
        <f>IF(Worksheet!C147="","",Worksheet!C147)</f>
        <v/>
      </c>
    </row>
    <row r="148" spans="1:6" x14ac:dyDescent="0.25">
      <c r="A148" t="str">
        <f t="shared" si="3"/>
        <v/>
      </c>
      <c r="B148" s="2" t="str">
        <f>IF(Worksheet!D148="","",Worksheet!D148)</f>
        <v/>
      </c>
      <c r="E148" t="str">
        <f>IF(Worksheet!B148="","",Worksheet!B148)</f>
        <v/>
      </c>
      <c r="F148" t="str">
        <f>IF(Worksheet!C148="","",Worksheet!C148)</f>
        <v/>
      </c>
    </row>
    <row r="149" spans="1:6" x14ac:dyDescent="0.25">
      <c r="A149" t="str">
        <f t="shared" si="3"/>
        <v/>
      </c>
      <c r="B149" s="2" t="str">
        <f>IF(Worksheet!D149="","",Worksheet!D149)</f>
        <v/>
      </c>
      <c r="E149" t="str">
        <f>IF(Worksheet!B149="","",Worksheet!B149)</f>
        <v/>
      </c>
      <c r="F149" t="str">
        <f>IF(Worksheet!C149="","",Worksheet!C149)</f>
        <v/>
      </c>
    </row>
    <row r="150" spans="1:6" x14ac:dyDescent="0.25">
      <c r="A150" t="str">
        <f t="shared" si="3"/>
        <v/>
      </c>
      <c r="B150" s="2" t="str">
        <f>IF(Worksheet!D150="","",Worksheet!D150)</f>
        <v/>
      </c>
      <c r="E150" t="str">
        <f>IF(Worksheet!B150="","",Worksheet!B150)</f>
        <v/>
      </c>
      <c r="F150" t="str">
        <f>IF(Worksheet!C150="","",Worksheet!C150)</f>
        <v/>
      </c>
    </row>
    <row r="151" spans="1:6" x14ac:dyDescent="0.25">
      <c r="A151" t="str">
        <f t="shared" si="3"/>
        <v/>
      </c>
      <c r="B151" s="2" t="str">
        <f>IF(Worksheet!D151="","",Worksheet!D151)</f>
        <v/>
      </c>
      <c r="E151" t="str">
        <f>IF(Worksheet!B151="","",Worksheet!B151)</f>
        <v/>
      </c>
      <c r="F151" t="str">
        <f>IF(Worksheet!C151="","",Worksheet!C151)</f>
        <v/>
      </c>
    </row>
    <row r="152" spans="1:6" x14ac:dyDescent="0.25">
      <c r="A152" t="str">
        <f t="shared" si="3"/>
        <v/>
      </c>
      <c r="B152" s="2" t="str">
        <f>IF(Worksheet!D152="","",Worksheet!D152)</f>
        <v/>
      </c>
      <c r="E152" t="str">
        <f>IF(Worksheet!B152="","",Worksheet!B152)</f>
        <v/>
      </c>
      <c r="F152" t="str">
        <f>IF(Worksheet!C152="","",Worksheet!C152)</f>
        <v/>
      </c>
    </row>
    <row r="153" spans="1:6" x14ac:dyDescent="0.25">
      <c r="A153" t="str">
        <f t="shared" si="3"/>
        <v/>
      </c>
      <c r="B153" s="2" t="str">
        <f>IF(Worksheet!D153="","",Worksheet!D153)</f>
        <v/>
      </c>
      <c r="E153" t="str">
        <f>IF(Worksheet!B153="","",Worksheet!B153)</f>
        <v/>
      </c>
      <c r="F153" t="str">
        <f>IF(Worksheet!C153="","",Worksheet!C153)</f>
        <v/>
      </c>
    </row>
    <row r="154" spans="1:6" x14ac:dyDescent="0.25">
      <c r="A154" t="str">
        <f t="shared" si="3"/>
        <v/>
      </c>
      <c r="B154" s="2" t="str">
        <f>IF(Worksheet!D154="","",Worksheet!D154)</f>
        <v/>
      </c>
      <c r="E154" t="str">
        <f>IF(Worksheet!B154="","",Worksheet!B154)</f>
        <v/>
      </c>
      <c r="F154" t="str">
        <f>IF(Worksheet!C154="","",Worksheet!C154)</f>
        <v/>
      </c>
    </row>
    <row r="155" spans="1:6" x14ac:dyDescent="0.25">
      <c r="A155" t="str">
        <f t="shared" si="3"/>
        <v/>
      </c>
      <c r="B155" s="2" t="str">
        <f>IF(Worksheet!D155="","",Worksheet!D155)</f>
        <v/>
      </c>
      <c r="E155" t="str">
        <f>IF(Worksheet!B155="","",Worksheet!B155)</f>
        <v/>
      </c>
      <c r="F155" t="str">
        <f>IF(Worksheet!C155="","",Worksheet!C155)</f>
        <v/>
      </c>
    </row>
    <row r="156" spans="1:6" x14ac:dyDescent="0.25">
      <c r="A156" t="str">
        <f t="shared" si="3"/>
        <v/>
      </c>
      <c r="B156" s="2" t="str">
        <f>IF(Worksheet!D156="","",Worksheet!D156)</f>
        <v/>
      </c>
      <c r="E156" t="str">
        <f>IF(Worksheet!B156="","",Worksheet!B156)</f>
        <v/>
      </c>
      <c r="F156" t="str">
        <f>IF(Worksheet!C156="","",Worksheet!C156)</f>
        <v/>
      </c>
    </row>
    <row r="157" spans="1:6" x14ac:dyDescent="0.25">
      <c r="A157" t="str">
        <f t="shared" si="3"/>
        <v/>
      </c>
      <c r="B157" s="2" t="str">
        <f>IF(Worksheet!D157="","",Worksheet!D157)</f>
        <v/>
      </c>
      <c r="E157" t="str">
        <f>IF(Worksheet!B157="","",Worksheet!B157)</f>
        <v/>
      </c>
      <c r="F157" t="str">
        <f>IF(Worksheet!C157="","",Worksheet!C157)</f>
        <v/>
      </c>
    </row>
    <row r="158" spans="1:6" x14ac:dyDescent="0.25">
      <c r="A158" t="str">
        <f t="shared" si="3"/>
        <v/>
      </c>
      <c r="B158" s="2" t="str">
        <f>IF(Worksheet!D158="","",Worksheet!D158)</f>
        <v/>
      </c>
      <c r="E158" t="str">
        <f>IF(Worksheet!B158="","",Worksheet!B158)</f>
        <v/>
      </c>
      <c r="F158" t="str">
        <f>IF(Worksheet!C158="","",Worksheet!C158)</f>
        <v/>
      </c>
    </row>
    <row r="159" spans="1:6" x14ac:dyDescent="0.25">
      <c r="A159" t="str">
        <f t="shared" si="3"/>
        <v/>
      </c>
      <c r="B159" s="2" t="str">
        <f>IF(Worksheet!D159="","",Worksheet!D159)</f>
        <v/>
      </c>
      <c r="E159" t="str">
        <f>IF(Worksheet!B159="","",Worksheet!B159)</f>
        <v/>
      </c>
      <c r="F159" t="str">
        <f>IF(Worksheet!C159="","",Worksheet!C159)</f>
        <v/>
      </c>
    </row>
    <row r="160" spans="1:6" x14ac:dyDescent="0.25">
      <c r="A160" t="str">
        <f t="shared" si="3"/>
        <v/>
      </c>
      <c r="B160" s="2" t="str">
        <f>IF(Worksheet!D160="","",Worksheet!D160)</f>
        <v/>
      </c>
      <c r="E160" t="str">
        <f>IF(Worksheet!B160="","",Worksheet!B160)</f>
        <v/>
      </c>
      <c r="F160" t="str">
        <f>IF(Worksheet!C160="","",Worksheet!C160)</f>
        <v/>
      </c>
    </row>
    <row r="161" spans="1:6" x14ac:dyDescent="0.25">
      <c r="A161" t="str">
        <f t="shared" si="3"/>
        <v/>
      </c>
      <c r="B161" s="2" t="str">
        <f>IF(Worksheet!D161="","",Worksheet!D161)</f>
        <v/>
      </c>
      <c r="E161" t="str">
        <f>IF(Worksheet!B161="","",Worksheet!B161)</f>
        <v/>
      </c>
      <c r="F161" t="str">
        <f>IF(Worksheet!C161="","",Worksheet!C161)</f>
        <v/>
      </c>
    </row>
    <row r="162" spans="1:6" x14ac:dyDescent="0.25">
      <c r="A162" t="str">
        <f t="shared" si="3"/>
        <v/>
      </c>
      <c r="B162" s="2" t="str">
        <f>IF(Worksheet!D162="","",Worksheet!D162)</f>
        <v/>
      </c>
      <c r="E162" t="str">
        <f>IF(Worksheet!B162="","",Worksheet!B162)</f>
        <v/>
      </c>
      <c r="F162" t="str">
        <f>IF(Worksheet!C162="","",Worksheet!C162)</f>
        <v/>
      </c>
    </row>
    <row r="163" spans="1:6" x14ac:dyDescent="0.25">
      <c r="A163" t="str">
        <f t="shared" si="3"/>
        <v/>
      </c>
      <c r="B163" s="2" t="str">
        <f>IF(Worksheet!D163="","",Worksheet!D163)</f>
        <v/>
      </c>
      <c r="E163" t="str">
        <f>IF(Worksheet!B163="","",Worksheet!B163)</f>
        <v/>
      </c>
      <c r="F163" t="str">
        <f>IF(Worksheet!C163="","",Worksheet!C163)</f>
        <v/>
      </c>
    </row>
    <row r="164" spans="1:6" x14ac:dyDescent="0.25">
      <c r="A164" t="str">
        <f t="shared" si="3"/>
        <v/>
      </c>
      <c r="B164" s="2" t="str">
        <f>IF(Worksheet!D164="","",Worksheet!D164)</f>
        <v/>
      </c>
      <c r="E164" t="str">
        <f>IF(Worksheet!B164="","",Worksheet!B164)</f>
        <v/>
      </c>
      <c r="F164" t="str">
        <f>IF(Worksheet!C164="","",Worksheet!C164)</f>
        <v/>
      </c>
    </row>
    <row r="165" spans="1:6" x14ac:dyDescent="0.25">
      <c r="A165" t="str">
        <f t="shared" si="3"/>
        <v/>
      </c>
      <c r="B165" s="2" t="str">
        <f>IF(Worksheet!D165="","",Worksheet!D165)</f>
        <v/>
      </c>
      <c r="E165" t="str">
        <f>IF(Worksheet!B165="","",Worksheet!B165)</f>
        <v/>
      </c>
      <c r="F165" t="str">
        <f>IF(Worksheet!C165="","",Worksheet!C165)</f>
        <v/>
      </c>
    </row>
    <row r="166" spans="1:6" x14ac:dyDescent="0.25">
      <c r="A166" t="str">
        <f t="shared" ref="A166:A200" si="4">IF(B166="","","S")</f>
        <v/>
      </c>
      <c r="B166" s="2" t="str">
        <f>IF(Worksheet!D166="","",Worksheet!D166)</f>
        <v/>
      </c>
      <c r="E166" t="str">
        <f>IF(Worksheet!B166="","",Worksheet!B166)</f>
        <v/>
      </c>
      <c r="F166" t="str">
        <f>IF(Worksheet!C166="","",Worksheet!C166)</f>
        <v/>
      </c>
    </row>
    <row r="167" spans="1:6" x14ac:dyDescent="0.25">
      <c r="A167" t="str">
        <f t="shared" si="4"/>
        <v/>
      </c>
      <c r="B167" s="2" t="str">
        <f>IF(Worksheet!D167="","",Worksheet!D167)</f>
        <v/>
      </c>
      <c r="E167" t="str">
        <f>IF(Worksheet!B167="","",Worksheet!B167)</f>
        <v/>
      </c>
      <c r="F167" t="str">
        <f>IF(Worksheet!C167="","",Worksheet!C167)</f>
        <v/>
      </c>
    </row>
    <row r="168" spans="1:6" x14ac:dyDescent="0.25">
      <c r="A168" t="str">
        <f t="shared" si="4"/>
        <v/>
      </c>
      <c r="B168" s="2" t="str">
        <f>IF(Worksheet!D168="","",Worksheet!D168)</f>
        <v/>
      </c>
      <c r="E168" t="str">
        <f>IF(Worksheet!B168="","",Worksheet!B168)</f>
        <v/>
      </c>
      <c r="F168" t="str">
        <f>IF(Worksheet!C168="","",Worksheet!C168)</f>
        <v/>
      </c>
    </row>
    <row r="169" spans="1:6" x14ac:dyDescent="0.25">
      <c r="A169" t="str">
        <f t="shared" si="4"/>
        <v/>
      </c>
      <c r="B169" s="2" t="str">
        <f>IF(Worksheet!D169="","",Worksheet!D169)</f>
        <v/>
      </c>
      <c r="E169" t="str">
        <f>IF(Worksheet!B169="","",Worksheet!B169)</f>
        <v/>
      </c>
      <c r="F169" t="str">
        <f>IF(Worksheet!C169="","",Worksheet!C169)</f>
        <v/>
      </c>
    </row>
    <row r="170" spans="1:6" x14ac:dyDescent="0.25">
      <c r="A170" t="str">
        <f t="shared" si="4"/>
        <v/>
      </c>
      <c r="B170" s="2" t="str">
        <f>IF(Worksheet!D170="","",Worksheet!D170)</f>
        <v/>
      </c>
      <c r="E170" t="str">
        <f>IF(Worksheet!B170="","",Worksheet!B170)</f>
        <v/>
      </c>
      <c r="F170" t="str">
        <f>IF(Worksheet!C170="","",Worksheet!C170)</f>
        <v/>
      </c>
    </row>
    <row r="171" spans="1:6" x14ac:dyDescent="0.25">
      <c r="A171" t="str">
        <f t="shared" si="4"/>
        <v/>
      </c>
      <c r="B171" s="2" t="str">
        <f>IF(Worksheet!D171="","",Worksheet!D171)</f>
        <v/>
      </c>
      <c r="E171" t="str">
        <f>IF(Worksheet!B171="","",Worksheet!B171)</f>
        <v/>
      </c>
      <c r="F171" t="str">
        <f>IF(Worksheet!C171="","",Worksheet!C171)</f>
        <v/>
      </c>
    </row>
    <row r="172" spans="1:6" x14ac:dyDescent="0.25">
      <c r="A172" t="str">
        <f t="shared" si="4"/>
        <v/>
      </c>
      <c r="B172" s="2" t="str">
        <f>IF(Worksheet!D172="","",Worksheet!D172)</f>
        <v/>
      </c>
      <c r="E172" t="str">
        <f>IF(Worksheet!B172="","",Worksheet!B172)</f>
        <v/>
      </c>
      <c r="F172" t="str">
        <f>IF(Worksheet!C172="","",Worksheet!C172)</f>
        <v/>
      </c>
    </row>
    <row r="173" spans="1:6" x14ac:dyDescent="0.25">
      <c r="A173" t="str">
        <f t="shared" si="4"/>
        <v/>
      </c>
      <c r="B173" s="2" t="str">
        <f>IF(Worksheet!D173="","",Worksheet!D173)</f>
        <v/>
      </c>
      <c r="E173" t="str">
        <f>IF(Worksheet!B173="","",Worksheet!B173)</f>
        <v/>
      </c>
      <c r="F173" t="str">
        <f>IF(Worksheet!C173="","",Worksheet!C173)</f>
        <v/>
      </c>
    </row>
    <row r="174" spans="1:6" x14ac:dyDescent="0.25">
      <c r="A174" t="str">
        <f t="shared" si="4"/>
        <v/>
      </c>
      <c r="B174" s="2" t="str">
        <f>IF(Worksheet!D174="","",Worksheet!D174)</f>
        <v/>
      </c>
      <c r="E174" t="str">
        <f>IF(Worksheet!B174="","",Worksheet!B174)</f>
        <v/>
      </c>
      <c r="F174" t="str">
        <f>IF(Worksheet!C174="","",Worksheet!C174)</f>
        <v/>
      </c>
    </row>
    <row r="175" spans="1:6" x14ac:dyDescent="0.25">
      <c r="A175" t="str">
        <f t="shared" si="4"/>
        <v/>
      </c>
      <c r="B175" s="2" t="str">
        <f>IF(Worksheet!D175="","",Worksheet!D175)</f>
        <v/>
      </c>
      <c r="E175" t="str">
        <f>IF(Worksheet!B175="","",Worksheet!B175)</f>
        <v/>
      </c>
      <c r="F175" t="str">
        <f>IF(Worksheet!C175="","",Worksheet!C175)</f>
        <v/>
      </c>
    </row>
    <row r="176" spans="1:6" x14ac:dyDescent="0.25">
      <c r="A176" t="str">
        <f t="shared" si="4"/>
        <v/>
      </c>
      <c r="B176" s="2" t="str">
        <f>IF(Worksheet!D176="","",Worksheet!D176)</f>
        <v/>
      </c>
      <c r="E176" t="str">
        <f>IF(Worksheet!B176="","",Worksheet!B176)</f>
        <v/>
      </c>
      <c r="F176" t="str">
        <f>IF(Worksheet!C176="","",Worksheet!C176)</f>
        <v/>
      </c>
    </row>
    <row r="177" spans="1:6" x14ac:dyDescent="0.25">
      <c r="A177" t="str">
        <f t="shared" si="4"/>
        <v/>
      </c>
      <c r="B177" s="2" t="str">
        <f>IF(Worksheet!D177="","",Worksheet!D177)</f>
        <v/>
      </c>
      <c r="E177" t="str">
        <f>IF(Worksheet!B177="","",Worksheet!B177)</f>
        <v/>
      </c>
      <c r="F177" t="str">
        <f>IF(Worksheet!C177="","",Worksheet!C177)</f>
        <v/>
      </c>
    </row>
    <row r="178" spans="1:6" x14ac:dyDescent="0.25">
      <c r="A178" t="str">
        <f t="shared" si="4"/>
        <v/>
      </c>
      <c r="B178" s="2" t="str">
        <f>IF(Worksheet!D178="","",Worksheet!D178)</f>
        <v/>
      </c>
      <c r="E178" t="str">
        <f>IF(Worksheet!B178="","",Worksheet!B178)</f>
        <v/>
      </c>
      <c r="F178" t="str">
        <f>IF(Worksheet!C178="","",Worksheet!C178)</f>
        <v/>
      </c>
    </row>
    <row r="179" spans="1:6" x14ac:dyDescent="0.25">
      <c r="A179" t="str">
        <f t="shared" si="4"/>
        <v/>
      </c>
      <c r="B179" s="2" t="str">
        <f>IF(Worksheet!D179="","",Worksheet!D179)</f>
        <v/>
      </c>
      <c r="E179" t="str">
        <f>IF(Worksheet!B179="","",Worksheet!B179)</f>
        <v/>
      </c>
      <c r="F179" t="str">
        <f>IF(Worksheet!C179="","",Worksheet!C179)</f>
        <v/>
      </c>
    </row>
    <row r="180" spans="1:6" x14ac:dyDescent="0.25">
      <c r="A180" t="str">
        <f t="shared" si="4"/>
        <v/>
      </c>
      <c r="B180" s="2" t="str">
        <f>IF(Worksheet!D180="","",Worksheet!D180)</f>
        <v/>
      </c>
      <c r="E180" t="str">
        <f>IF(Worksheet!B180="","",Worksheet!B180)</f>
        <v/>
      </c>
      <c r="F180" t="str">
        <f>IF(Worksheet!C180="","",Worksheet!C180)</f>
        <v/>
      </c>
    </row>
    <row r="181" spans="1:6" x14ac:dyDescent="0.25">
      <c r="A181" t="str">
        <f t="shared" si="4"/>
        <v/>
      </c>
      <c r="B181" s="2" t="str">
        <f>IF(Worksheet!D181="","",Worksheet!D181)</f>
        <v/>
      </c>
      <c r="E181" t="str">
        <f>IF(Worksheet!B181="","",Worksheet!B181)</f>
        <v/>
      </c>
      <c r="F181" t="str">
        <f>IF(Worksheet!C181="","",Worksheet!C181)</f>
        <v/>
      </c>
    </row>
    <row r="182" spans="1:6" x14ac:dyDescent="0.25">
      <c r="A182" t="str">
        <f t="shared" si="4"/>
        <v/>
      </c>
      <c r="B182" s="2" t="str">
        <f>IF(Worksheet!D182="","",Worksheet!D182)</f>
        <v/>
      </c>
      <c r="E182" t="str">
        <f>IF(Worksheet!B182="","",Worksheet!B182)</f>
        <v/>
      </c>
      <c r="F182" t="str">
        <f>IF(Worksheet!C182="","",Worksheet!C182)</f>
        <v/>
      </c>
    </row>
    <row r="183" spans="1:6" x14ac:dyDescent="0.25">
      <c r="A183" t="str">
        <f t="shared" si="4"/>
        <v/>
      </c>
      <c r="B183" s="2" t="str">
        <f>IF(Worksheet!D183="","",Worksheet!D183)</f>
        <v/>
      </c>
      <c r="E183" t="str">
        <f>IF(Worksheet!B183="","",Worksheet!B183)</f>
        <v/>
      </c>
      <c r="F183" t="str">
        <f>IF(Worksheet!C183="","",Worksheet!C183)</f>
        <v/>
      </c>
    </row>
    <row r="184" spans="1:6" x14ac:dyDescent="0.25">
      <c r="A184" t="str">
        <f t="shared" si="4"/>
        <v/>
      </c>
      <c r="B184" s="2" t="str">
        <f>IF(Worksheet!D184="","",Worksheet!D184)</f>
        <v/>
      </c>
      <c r="E184" t="str">
        <f>IF(Worksheet!B184="","",Worksheet!B184)</f>
        <v/>
      </c>
      <c r="F184" t="str">
        <f>IF(Worksheet!C184="","",Worksheet!C184)</f>
        <v/>
      </c>
    </row>
    <row r="185" spans="1:6" x14ac:dyDescent="0.25">
      <c r="A185" t="str">
        <f t="shared" si="4"/>
        <v/>
      </c>
      <c r="B185" s="2" t="str">
        <f>IF(Worksheet!D185="","",Worksheet!D185)</f>
        <v/>
      </c>
      <c r="E185" t="str">
        <f>IF(Worksheet!B185="","",Worksheet!B185)</f>
        <v/>
      </c>
      <c r="F185" t="str">
        <f>IF(Worksheet!C185="","",Worksheet!C185)</f>
        <v/>
      </c>
    </row>
    <row r="186" spans="1:6" x14ac:dyDescent="0.25">
      <c r="A186" t="str">
        <f t="shared" si="4"/>
        <v/>
      </c>
      <c r="B186" s="2" t="str">
        <f>IF(Worksheet!D186="","",Worksheet!D186)</f>
        <v/>
      </c>
      <c r="E186" t="str">
        <f>IF(Worksheet!B186="","",Worksheet!B186)</f>
        <v/>
      </c>
      <c r="F186" t="str">
        <f>IF(Worksheet!C186="","",Worksheet!C186)</f>
        <v/>
      </c>
    </row>
    <row r="187" spans="1:6" x14ac:dyDescent="0.25">
      <c r="A187" t="str">
        <f t="shared" si="4"/>
        <v/>
      </c>
      <c r="B187" s="2" t="str">
        <f>IF(Worksheet!D187="","",Worksheet!D187)</f>
        <v/>
      </c>
      <c r="E187" t="str">
        <f>IF(Worksheet!B187="","",Worksheet!B187)</f>
        <v/>
      </c>
      <c r="F187" t="str">
        <f>IF(Worksheet!C187="","",Worksheet!C187)</f>
        <v/>
      </c>
    </row>
    <row r="188" spans="1:6" x14ac:dyDescent="0.25">
      <c r="A188" t="str">
        <f t="shared" si="4"/>
        <v/>
      </c>
      <c r="B188" s="2" t="str">
        <f>IF(Worksheet!D188="","",Worksheet!D188)</f>
        <v/>
      </c>
      <c r="E188" t="str">
        <f>IF(Worksheet!B188="","",Worksheet!B188)</f>
        <v/>
      </c>
      <c r="F188" t="str">
        <f>IF(Worksheet!C188="","",Worksheet!C188)</f>
        <v/>
      </c>
    </row>
    <row r="189" spans="1:6" x14ac:dyDescent="0.25">
      <c r="A189" t="str">
        <f t="shared" si="4"/>
        <v/>
      </c>
      <c r="B189" s="2" t="str">
        <f>IF(Worksheet!D189="","",Worksheet!D189)</f>
        <v/>
      </c>
      <c r="E189" t="str">
        <f>IF(Worksheet!B189="","",Worksheet!B189)</f>
        <v/>
      </c>
      <c r="F189" t="str">
        <f>IF(Worksheet!C189="","",Worksheet!C189)</f>
        <v/>
      </c>
    </row>
    <row r="190" spans="1:6" x14ac:dyDescent="0.25">
      <c r="A190" t="str">
        <f t="shared" si="4"/>
        <v/>
      </c>
      <c r="B190" s="2" t="str">
        <f>IF(Worksheet!D190="","",Worksheet!D190)</f>
        <v/>
      </c>
      <c r="E190" t="str">
        <f>IF(Worksheet!B190="","",Worksheet!B190)</f>
        <v/>
      </c>
      <c r="F190" t="str">
        <f>IF(Worksheet!C190="","",Worksheet!C190)</f>
        <v/>
      </c>
    </row>
    <row r="191" spans="1:6" x14ac:dyDescent="0.25">
      <c r="A191" t="str">
        <f t="shared" si="4"/>
        <v/>
      </c>
      <c r="B191" s="2" t="str">
        <f>IF(Worksheet!D191="","",Worksheet!D191)</f>
        <v/>
      </c>
      <c r="E191" t="str">
        <f>IF(Worksheet!B191="","",Worksheet!B191)</f>
        <v/>
      </c>
      <c r="F191" t="str">
        <f>IF(Worksheet!C191="","",Worksheet!C191)</f>
        <v/>
      </c>
    </row>
    <row r="192" spans="1:6" x14ac:dyDescent="0.25">
      <c r="A192" t="str">
        <f t="shared" si="4"/>
        <v/>
      </c>
      <c r="B192" s="2" t="str">
        <f>IF(Worksheet!D192="","",Worksheet!D192)</f>
        <v/>
      </c>
      <c r="E192" t="str">
        <f>IF(Worksheet!B192="","",Worksheet!B192)</f>
        <v/>
      </c>
      <c r="F192" t="str">
        <f>IF(Worksheet!C192="","",Worksheet!C192)</f>
        <v/>
      </c>
    </row>
    <row r="193" spans="1:6" x14ac:dyDescent="0.25">
      <c r="A193" t="str">
        <f t="shared" si="4"/>
        <v/>
      </c>
      <c r="B193" s="2" t="str">
        <f>IF(Worksheet!D193="","",Worksheet!D193)</f>
        <v/>
      </c>
      <c r="E193" t="str">
        <f>IF(Worksheet!B193="","",Worksheet!B193)</f>
        <v/>
      </c>
      <c r="F193" t="str">
        <f>IF(Worksheet!C193="","",Worksheet!C193)</f>
        <v/>
      </c>
    </row>
    <row r="194" spans="1:6" x14ac:dyDescent="0.25">
      <c r="A194" t="str">
        <f t="shared" si="4"/>
        <v/>
      </c>
      <c r="B194" s="2" t="str">
        <f>IF(Worksheet!D194="","",Worksheet!D194)</f>
        <v/>
      </c>
      <c r="E194" t="str">
        <f>IF(Worksheet!B194="","",Worksheet!B194)</f>
        <v/>
      </c>
      <c r="F194" t="str">
        <f>IF(Worksheet!C194="","",Worksheet!C194)</f>
        <v/>
      </c>
    </row>
    <row r="195" spans="1:6" x14ac:dyDescent="0.25">
      <c r="A195" t="str">
        <f t="shared" si="4"/>
        <v/>
      </c>
      <c r="B195" s="2" t="str">
        <f>IF(Worksheet!D195="","",Worksheet!D195)</f>
        <v/>
      </c>
      <c r="E195" t="str">
        <f>IF(Worksheet!B195="","",Worksheet!B195)</f>
        <v/>
      </c>
      <c r="F195" t="str">
        <f>IF(Worksheet!C195="","",Worksheet!C195)</f>
        <v/>
      </c>
    </row>
    <row r="196" spans="1:6" x14ac:dyDescent="0.25">
      <c r="A196" t="str">
        <f t="shared" si="4"/>
        <v/>
      </c>
      <c r="B196" s="2" t="str">
        <f>IF(Worksheet!D196="","",Worksheet!D196)</f>
        <v/>
      </c>
      <c r="E196" t="str">
        <f>IF(Worksheet!B196="","",Worksheet!B196)</f>
        <v/>
      </c>
      <c r="F196" t="str">
        <f>IF(Worksheet!C196="","",Worksheet!C196)</f>
        <v/>
      </c>
    </row>
    <row r="197" spans="1:6" x14ac:dyDescent="0.25">
      <c r="A197" t="str">
        <f t="shared" si="4"/>
        <v/>
      </c>
      <c r="B197" s="2" t="str">
        <f>IF(Worksheet!D197="","",Worksheet!D197)</f>
        <v/>
      </c>
      <c r="E197" t="str">
        <f>IF(Worksheet!B197="","",Worksheet!B197)</f>
        <v/>
      </c>
      <c r="F197" t="str">
        <f>IF(Worksheet!C197="","",Worksheet!C197)</f>
        <v/>
      </c>
    </row>
    <row r="198" spans="1:6" x14ac:dyDescent="0.25">
      <c r="A198" t="str">
        <f t="shared" si="4"/>
        <v/>
      </c>
      <c r="B198" s="2" t="str">
        <f>IF(Worksheet!D198="","",Worksheet!D198)</f>
        <v/>
      </c>
      <c r="E198" t="str">
        <f>IF(Worksheet!B198="","",Worksheet!B198)</f>
        <v/>
      </c>
      <c r="F198" t="str">
        <f>IF(Worksheet!C198="","",Worksheet!C198)</f>
        <v/>
      </c>
    </row>
    <row r="199" spans="1:6" x14ac:dyDescent="0.25">
      <c r="A199" t="str">
        <f t="shared" si="4"/>
        <v/>
      </c>
      <c r="B199" s="2" t="str">
        <f>IF(Worksheet!D199="","",Worksheet!D199)</f>
        <v/>
      </c>
      <c r="E199" t="str">
        <f>IF(Worksheet!B199="","",Worksheet!B199)</f>
        <v/>
      </c>
      <c r="F199" t="str">
        <f>IF(Worksheet!C199="","",Worksheet!C199)</f>
        <v/>
      </c>
    </row>
    <row r="200" spans="1:6" x14ac:dyDescent="0.25">
      <c r="A200" t="str">
        <f t="shared" si="4"/>
        <v/>
      </c>
      <c r="B200" s="2" t="str">
        <f>IF(Worksheet!D200="","",Worksheet!D200)</f>
        <v/>
      </c>
      <c r="E200" t="str">
        <f>IF(Worksheet!B200="","",Worksheet!B200)</f>
        <v/>
      </c>
      <c r="F200" t="str">
        <f>IF(Worksheet!C200="","",Worksheet!C200)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OL2219"/>
  <sheetViews>
    <sheetView tabSelected="1" topLeftCell="A227" zoomScaleNormal="100" workbookViewId="0">
      <selection activeCell="F231" sqref="F231"/>
    </sheetView>
  </sheetViews>
  <sheetFormatPr defaultColWidth="8.5703125" defaultRowHeight="15" x14ac:dyDescent="0.25"/>
  <cols>
    <col min="1" max="1" width="14.5703125" customWidth="1"/>
    <col min="2" max="2" width="30.140625" customWidth="1"/>
    <col min="3" max="3" width="22.5703125" customWidth="1"/>
    <col min="4" max="4" width="38.7109375" customWidth="1"/>
    <col min="5" max="5" width="14.85546875" customWidth="1"/>
    <col min="6" max="6" width="36.5703125" bestFit="1" customWidth="1"/>
    <col min="13" max="13" width="12.5703125" customWidth="1"/>
    <col min="14" max="14" width="18.85546875" customWidth="1"/>
  </cols>
  <sheetData>
    <row r="1" spans="1:6" ht="25.5" customHeight="1" x14ac:dyDescent="0.25">
      <c r="B1" s="119" t="s">
        <v>2902</v>
      </c>
      <c r="C1" s="120"/>
      <c r="D1" s="120"/>
      <c r="E1" s="120"/>
      <c r="F1" s="121"/>
    </row>
    <row r="2" spans="1:6" ht="15" customHeight="1" x14ac:dyDescent="0.25">
      <c r="A2" s="5"/>
      <c r="B2" s="18" t="s">
        <v>648</v>
      </c>
      <c r="C2" s="122" t="s">
        <v>2969</v>
      </c>
      <c r="D2" s="123"/>
      <c r="E2" s="19" t="s">
        <v>656</v>
      </c>
      <c r="F2" s="20"/>
    </row>
    <row r="3" spans="1:6" ht="15" customHeight="1" x14ac:dyDescent="0.25">
      <c r="A3" s="5"/>
      <c r="B3" s="124" t="s">
        <v>726</v>
      </c>
      <c r="C3" s="126" t="s">
        <v>2967</v>
      </c>
      <c r="D3" s="127"/>
      <c r="E3" s="21" t="s">
        <v>727</v>
      </c>
      <c r="F3" s="22"/>
    </row>
    <row r="4" spans="1:6" ht="15" customHeight="1" x14ac:dyDescent="0.25">
      <c r="A4" s="5"/>
      <c r="B4" s="125"/>
      <c r="C4" s="128"/>
      <c r="D4" s="129"/>
      <c r="E4" s="21" t="s">
        <v>647</v>
      </c>
      <c r="F4" s="22"/>
    </row>
    <row r="5" spans="1:6" ht="15" customHeight="1" x14ac:dyDescent="0.25">
      <c r="A5" s="6"/>
      <c r="B5" s="23" t="s">
        <v>649</v>
      </c>
      <c r="C5" s="22"/>
      <c r="D5" s="24" t="s">
        <v>651</v>
      </c>
      <c r="E5" s="25" t="s">
        <v>650</v>
      </c>
      <c r="F5" s="26" t="s">
        <v>2968</v>
      </c>
    </row>
    <row r="6" spans="1:6" ht="18.75" x14ac:dyDescent="0.25">
      <c r="A6" s="3"/>
      <c r="B6" s="130" t="s">
        <v>652</v>
      </c>
      <c r="C6" s="130"/>
      <c r="D6" s="130"/>
      <c r="E6" s="130"/>
      <c r="F6" s="130"/>
    </row>
    <row r="7" spans="1:6" x14ac:dyDescent="0.25">
      <c r="A7" s="7"/>
      <c r="B7" s="27" t="s">
        <v>4</v>
      </c>
      <c r="C7" s="27" t="s">
        <v>643</v>
      </c>
      <c r="D7" s="27" t="s">
        <v>6</v>
      </c>
      <c r="E7" s="27" t="s">
        <v>644</v>
      </c>
      <c r="F7" s="27" t="s">
        <v>645</v>
      </c>
    </row>
    <row r="8" spans="1:6" x14ac:dyDescent="0.25">
      <c r="A8" s="7"/>
      <c r="B8" s="81" t="s">
        <v>859</v>
      </c>
      <c r="C8" s="82" t="s">
        <v>2930</v>
      </c>
      <c r="D8" s="82" t="s">
        <v>2931</v>
      </c>
      <c r="E8" s="27"/>
      <c r="F8" s="27"/>
    </row>
    <row r="9" spans="1:6" x14ac:dyDescent="0.25">
      <c r="A9" s="3" t="str">
        <f>IF(D9="","",IFERROR(IF(E9=0,"",VLOOKUP(C9,'Product List'!B:E,4,FALSE)),""))</f>
        <v/>
      </c>
      <c r="B9" s="28" t="s">
        <v>338</v>
      </c>
      <c r="C9" s="75" t="s">
        <v>1177</v>
      </c>
      <c r="D9" s="29" t="str">
        <f>IFERROR(IF(VLOOKUP(C9,'Product List'!B:C,2,FALSE)=VLOOKUP(B9,'Product List'!$A$2179:$DE$2338,2,FALSE),IFERROR(VLOOKUP(C9,'Product List'!B:D,3,FALSE),""),""),"")</f>
        <v>425W PERC 72C BLK/BLK</v>
      </c>
      <c r="E9" s="9"/>
      <c r="F9" s="30" t="s">
        <v>2947</v>
      </c>
    </row>
    <row r="10" spans="1:6" x14ac:dyDescent="0.25">
      <c r="A10" s="3"/>
      <c r="B10" s="28" t="s">
        <v>130</v>
      </c>
      <c r="C10" s="75" t="s">
        <v>1067</v>
      </c>
      <c r="D10" s="29" t="s">
        <v>2904</v>
      </c>
      <c r="E10" s="9"/>
      <c r="F10" s="30"/>
    </row>
    <row r="11" spans="1:6" x14ac:dyDescent="0.25">
      <c r="A11" s="3" t="str">
        <f>IF(D11="","",IFERROR(IF(E11=0,"",VLOOKUP(C11,'Product List'!B:E,4,FALSE)),""))</f>
        <v/>
      </c>
      <c r="B11" s="54" t="s">
        <v>859</v>
      </c>
      <c r="C11" s="55" t="s">
        <v>1352</v>
      </c>
      <c r="D11" s="55" t="str">
        <f>IFERROR(IF(VLOOKUP(C11,'Product List'!B:C,2,FALSE)=VLOOKUP(B11,'Product List'!$A$2179:$DE$2338,2,FALSE),IFERROR(VLOOKUP(C11,'Product List'!B:D,3,FALSE),""),""),"")</f>
        <v>VERTEX S, BOT 390W (30MM)</v>
      </c>
      <c r="E11" s="10"/>
      <c r="F11" s="32"/>
    </row>
    <row r="12" spans="1:6" x14ac:dyDescent="0.25">
      <c r="A12" s="3">
        <f>IF(D12="","",IFERROR(IF(E12=0,"",VLOOKUP(C12,'Product List'!B:E,4,FALSE)),""))</f>
        <v>2000000944</v>
      </c>
      <c r="B12" s="28" t="s">
        <v>882</v>
      </c>
      <c r="C12" s="29" t="s">
        <v>975</v>
      </c>
      <c r="D12" s="29" t="str">
        <f>IFERROR(IF(VLOOKUP(C12,'Product List'!B:C,2,FALSE)=VLOOKUP(B12,'Product List'!$A$2179:$DE$2338,2,FALSE),IFERROR(VLOOKUP(C12,'Product List'!B:D,3,FALSE),""),""),"")</f>
        <v>G10+ 400W BLK 132C 32MM (32)</v>
      </c>
      <c r="E12" s="9">
        <v>15</v>
      </c>
      <c r="F12" s="30" t="s">
        <v>2966</v>
      </c>
    </row>
    <row r="13" spans="1:6" x14ac:dyDescent="0.25">
      <c r="A13" s="3" t="str">
        <f>IF(D13="","",IFERROR(IF(E13=0,"",VLOOKUP(C13,'Product List'!B:E,4,FALSE)),""))</f>
        <v/>
      </c>
      <c r="B13" s="54" t="s">
        <v>447</v>
      </c>
      <c r="C13" s="55" t="s">
        <v>819</v>
      </c>
      <c r="D13" s="55" t="str">
        <f>IFERROR(IF(VLOOKUP(C13,'Product List'!B:C,2,FALSE)=VLOOKUP(B13,'Product List'!$A$2179:$DE$2338,2,FALSE),IFERROR(VLOOKUP(C13,'Product List'!B:D,3,FALSE),""),""),"")</f>
        <v>PRIME 370 BLK 120C 35MM (26) 884</v>
      </c>
      <c r="E13" s="10"/>
      <c r="F13" s="32"/>
    </row>
    <row r="14" spans="1:6" x14ac:dyDescent="0.25">
      <c r="A14" s="3" t="str">
        <f>IF(D14="","",IFERROR(IF(E14=0,"",VLOOKUP(C14,'Product List'!B:E,4,FALSE)),""))</f>
        <v/>
      </c>
      <c r="B14" s="28" t="s">
        <v>357</v>
      </c>
      <c r="C14" s="29" t="s">
        <v>684</v>
      </c>
      <c r="D14" s="29" t="str">
        <f>IFERROR(IF(VLOOKUP(C14,'Product List'!B:C,2,FALSE)=VLOOKUP(B14,'Product List'!$A$2179:$DE$2338,2,FALSE),IFERROR(VLOOKUP(C14,'Product List'!B:D,3,FALSE),""),""),"")</f>
        <v>360W BLK 120C 30MM (33) [858]</v>
      </c>
      <c r="E14" s="9"/>
      <c r="F14" s="30"/>
    </row>
    <row r="15" spans="1:6" x14ac:dyDescent="0.25">
      <c r="A15" s="3" t="str">
        <f>IF(D15="","",IFERROR(IF(E15=0,"",VLOOKUP(C15,'Product List'!B:E,4,FALSE)),""))</f>
        <v/>
      </c>
      <c r="B15" s="54" t="s">
        <v>1005</v>
      </c>
      <c r="C15" s="55" t="s">
        <v>1006</v>
      </c>
      <c r="D15" s="55" t="str">
        <f>IFERROR(IF(VLOOKUP(C15,'Product List'!B:C,2,FALSE)=VLOOKUP(B15,'Product List'!$A$2179:$DE$2338,2,FALSE),IFERROR(VLOOKUP(C15,'Product List'!B:D,3,FALSE),""),""),"")</f>
        <v>400W BLK 108C 35MM (31) [806]</v>
      </c>
      <c r="E15" s="10"/>
      <c r="F15" s="32"/>
    </row>
    <row r="16" spans="1:6" ht="18.75" customHeight="1" x14ac:dyDescent="0.25">
      <c r="A16" s="3" t="str">
        <f>IF(D16="","",IFERROR(IF(E16=0,"",VLOOKUP(C16,'Product List'!B:E,4,FALSE)),""))</f>
        <v/>
      </c>
      <c r="B16" s="54" t="s">
        <v>902</v>
      </c>
      <c r="C16" s="55" t="s">
        <v>980</v>
      </c>
      <c r="D16" s="55" t="str">
        <f>IFERROR(IF(VLOOKUP(C16,'Product List'!B:C,2,FALSE)=VLOOKUP(B16,'Product List'!$A$2179:$DE$2338,2,FALSE),IFERROR(VLOOKUP(C16,'Product List'!B:D,3,FALSE),""),""),"")</f>
        <v>ALPHA 400W BLK 66C HJT 30MM (33)</v>
      </c>
      <c r="E16" s="10"/>
      <c r="F16" s="32"/>
    </row>
    <row r="17" spans="1:6" x14ac:dyDescent="0.25">
      <c r="A17" s="3" t="str">
        <f>IF(D17="","",IFERROR(IF(E17=0,"",VLOOKUP(C17,'Product List'!B:E,4,FALSE)),""))</f>
        <v/>
      </c>
      <c r="B17" s="54" t="s">
        <v>1031</v>
      </c>
      <c r="C17" s="55" t="s">
        <v>1367</v>
      </c>
      <c r="D17" s="55" t="str">
        <f>IFERROR(IF(VLOOKUP(C17,'Product List'!B:C,2,FALSE)=VLOOKUP(B17,'Product List'!$A$2179:$DE$2338,2,FALSE),IFERROR(VLOOKUP(C17,'Product List'!B:D,3,FALSE),""),""),"")</f>
        <v>370W 120 HC BLK</v>
      </c>
      <c r="E17" s="10"/>
      <c r="F17" s="32" t="s">
        <v>2901</v>
      </c>
    </row>
    <row r="18" spans="1:6" x14ac:dyDescent="0.25">
      <c r="A18" s="3" t="str">
        <f>IF(D18="","",IFERROR(IF(E18=0,"",VLOOKUP(C18,'Product List'!B:E,4,FALSE)),""))</f>
        <v/>
      </c>
      <c r="B18" s="54" t="s">
        <v>1031</v>
      </c>
      <c r="C18" s="55" t="s">
        <v>1369</v>
      </c>
      <c r="D18" s="55" t="str">
        <f>IFERROR(IF(VLOOKUP(C18,'Product List'!B:C,2,FALSE)=VLOOKUP(B18,'Product List'!$A$2179:$DE$2338,2,FALSE),IFERROR(VLOOKUP(C18,'Product List'!B:D,3,FALSE),""),""),"")</f>
        <v>450W BIFACIAL</v>
      </c>
      <c r="E18" s="10"/>
      <c r="F18" s="32"/>
    </row>
    <row r="19" spans="1:6" ht="18.75" x14ac:dyDescent="0.25">
      <c r="A19" s="3" t="str">
        <f>IF(D19="","",IFERROR(IF(E19=0,"",VLOOKUP(C19,'Product List'!B:E,4,FALSE)),""))</f>
        <v/>
      </c>
      <c r="B19" s="116" t="s">
        <v>654</v>
      </c>
      <c r="C19" s="116"/>
      <c r="D19" s="116"/>
      <c r="E19" s="116"/>
      <c r="F19" s="116"/>
    </row>
    <row r="20" spans="1:6" x14ac:dyDescent="0.25">
      <c r="A20" s="3" t="str">
        <f>IF(D20="","",IFERROR(IF(E20=0,"",VLOOKUP(C20,'Product List'!B:E,4,FALSE)),""))</f>
        <v/>
      </c>
      <c r="B20" s="27" t="s">
        <v>4</v>
      </c>
      <c r="C20" s="27" t="s">
        <v>643</v>
      </c>
      <c r="D20" s="27" t="s">
        <v>6</v>
      </c>
      <c r="E20" s="27" t="s">
        <v>644</v>
      </c>
      <c r="F20" s="27" t="s">
        <v>645</v>
      </c>
    </row>
    <row r="21" spans="1:6" x14ac:dyDescent="0.25">
      <c r="A21" s="3" t="str">
        <f>IF(D21="","",IFERROR(IF(E21=0,"",VLOOKUP(C21,'Product List'!B:E,4,FALSE)),""))</f>
        <v/>
      </c>
      <c r="B21" s="33" t="s">
        <v>882</v>
      </c>
      <c r="C21" s="34"/>
      <c r="D21" s="60" t="s">
        <v>2958</v>
      </c>
      <c r="E21" s="11">
        <v>15</v>
      </c>
      <c r="F21" s="35" t="s">
        <v>2950</v>
      </c>
    </row>
    <row r="22" spans="1:6" x14ac:dyDescent="0.25">
      <c r="A22" s="3" t="str">
        <f>IF(D22="","",IFERROR(IF(E22=0,"",VLOOKUP(C22,'Product List'!B:E,4,FALSE)),""))</f>
        <v/>
      </c>
      <c r="B22" s="56" t="s">
        <v>882</v>
      </c>
      <c r="C22" s="57"/>
      <c r="D22" s="52" t="s">
        <v>2959</v>
      </c>
      <c r="E22" s="10">
        <v>1</v>
      </c>
      <c r="F22" s="32" t="s">
        <v>2951</v>
      </c>
    </row>
    <row r="23" spans="1:6" x14ac:dyDescent="0.25">
      <c r="A23" s="3" t="str">
        <f>IF(D23="","",IFERROR(IF(E23=0,"",VLOOKUP(C23,'Product List'!B:E,4,FALSE)),""))</f>
        <v/>
      </c>
      <c r="B23" s="33" t="s">
        <v>882</v>
      </c>
      <c r="C23" s="34"/>
      <c r="D23" s="60" t="s">
        <v>2960</v>
      </c>
      <c r="E23" s="11">
        <v>1</v>
      </c>
      <c r="F23" s="35" t="s">
        <v>2952</v>
      </c>
    </row>
    <row r="24" spans="1:6" x14ac:dyDescent="0.25">
      <c r="A24" s="3" t="str">
        <f>IF(D24="","",IFERROR(IF(E24=0,"",VLOOKUP(C24,'Product List'!B:E,4,FALSE)),""))</f>
        <v/>
      </c>
      <c r="B24" s="56" t="s">
        <v>882</v>
      </c>
      <c r="C24" s="57"/>
      <c r="D24" s="52" t="s">
        <v>2961</v>
      </c>
      <c r="E24" s="10">
        <v>15</v>
      </c>
      <c r="F24" s="32" t="s">
        <v>2953</v>
      </c>
    </row>
    <row r="25" spans="1:6" x14ac:dyDescent="0.25">
      <c r="A25" s="3" t="str">
        <f>IF(D25="","",IFERROR(IF(E25=0,"",VLOOKUP(C25,'Product List'!B:E,4,FALSE)),""))</f>
        <v/>
      </c>
      <c r="B25" s="33" t="s">
        <v>882</v>
      </c>
      <c r="C25" s="34"/>
      <c r="D25" s="60" t="s">
        <v>2962</v>
      </c>
      <c r="E25" s="11">
        <v>30</v>
      </c>
      <c r="F25" s="35" t="s">
        <v>2954</v>
      </c>
    </row>
    <row r="26" spans="1:6" x14ac:dyDescent="0.25">
      <c r="A26" s="3" t="str">
        <f>IF(D26="","",IFERROR(IF(E26=0,"",VLOOKUP(C26,'Product List'!B:E,4,FALSE)),""))</f>
        <v/>
      </c>
      <c r="B26" s="56" t="s">
        <v>882</v>
      </c>
      <c r="C26" s="57"/>
      <c r="D26" s="52" t="s">
        <v>2963</v>
      </c>
      <c r="E26" s="10">
        <v>1</v>
      </c>
      <c r="F26" s="32" t="s">
        <v>2955</v>
      </c>
    </row>
    <row r="27" spans="1:6" x14ac:dyDescent="0.25">
      <c r="A27" s="3" t="str">
        <f>IF(D27="","",IFERROR(IF(E27=0,"",VLOOKUP(C27,'Product List'!B:E,4,FALSE)),""))</f>
        <v/>
      </c>
      <c r="B27" s="33" t="s">
        <v>882</v>
      </c>
      <c r="C27" s="34"/>
      <c r="D27" s="60" t="s">
        <v>2964</v>
      </c>
      <c r="E27" s="11">
        <v>3</v>
      </c>
      <c r="F27" s="35" t="s">
        <v>2956</v>
      </c>
    </row>
    <row r="28" spans="1:6" x14ac:dyDescent="0.25">
      <c r="A28" s="3" t="str">
        <f>IF(D28="","",IFERROR(IF(E28=0,"",VLOOKUP(C28,'Product List'!B:E,4,FALSE)),""))</f>
        <v/>
      </c>
      <c r="B28" s="56" t="s">
        <v>882</v>
      </c>
      <c r="C28" s="57"/>
      <c r="D28" s="52" t="s">
        <v>2965</v>
      </c>
      <c r="E28" s="10"/>
      <c r="F28" s="32" t="s">
        <v>2957</v>
      </c>
    </row>
    <row r="29" spans="1:6" x14ac:dyDescent="0.25">
      <c r="A29" s="3" t="str">
        <f>IF(D29="","",IFERROR(IF(E29=0,"",VLOOKUP(C29,'Product List'!B:E,4,FALSE)),""))</f>
        <v/>
      </c>
      <c r="B29" s="33"/>
      <c r="C29" s="34" t="s">
        <v>188</v>
      </c>
      <c r="D29" s="60"/>
      <c r="E29" s="11"/>
      <c r="F29" s="35"/>
    </row>
    <row r="30" spans="1:6" x14ac:dyDescent="0.25">
      <c r="A30" s="3" t="str">
        <f>IF(D30="","",IFERROR(IF(E30=0,"",VLOOKUP(C30,'Product List'!B:E,4,FALSE)),""))</f>
        <v/>
      </c>
      <c r="B30" s="56"/>
      <c r="C30" s="57" t="s">
        <v>818</v>
      </c>
      <c r="D30" s="52" t="str">
        <f>IFERROR(IF(VLOOKUP(C30,'Product List'!B:C,2,FALSE)=VLOOKUP(B30,'Product List'!$A$2179:$DE$2338,2,FALSE),IFERROR(VLOOKUP(C30,'Product List'!B:D,3,FALSE),""),""),"")</f>
        <v/>
      </c>
      <c r="E30" s="10"/>
      <c r="F30" s="32"/>
    </row>
    <row r="31" spans="1:6" x14ac:dyDescent="0.25">
      <c r="A31" s="3" t="str">
        <f>IF(D31="","",IFERROR(IF(E31=0,"",VLOOKUP(C31,'Product List'!B:E,4,FALSE)),""))</f>
        <v/>
      </c>
      <c r="B31" s="33" t="s">
        <v>464</v>
      </c>
      <c r="C31" s="34" t="s">
        <v>991</v>
      </c>
      <c r="D31" s="60" t="str">
        <f>IFERROR(IF(VLOOKUP(C31,'Product List'!B:C,2,FALSE)=VLOOKUP(B31,'Product List'!$A$2179:$DE$2338,2,FALSE),IFERROR(VLOOKUP(C31,'Product List'!B:D,3,FALSE),""),""),"")</f>
        <v>440W 60VOC 14.5ISC</v>
      </c>
      <c r="E31" s="11"/>
      <c r="F31" s="35" t="s">
        <v>2949</v>
      </c>
    </row>
    <row r="32" spans="1:6" x14ac:dyDescent="0.25">
      <c r="A32" s="3" t="str">
        <f>IF(D32="","",IFERROR(IF(E32=0,"",VLOOKUP(C32,'Product List'!B:E,4,FALSE)),""))</f>
        <v/>
      </c>
      <c r="B32" s="56" t="s">
        <v>464</v>
      </c>
      <c r="C32" s="57" t="s">
        <v>462</v>
      </c>
      <c r="D32" s="52" t="str">
        <f>IFERROR(IF(VLOOKUP(C32,'Product List'!B:C,2,FALSE)=VLOOKUP(B32,'Product List'!$A$2179:$DE$2338,2,FALSE),IFERROR(VLOOKUP(C32,'Product List'!B:D,3,FALSE),""),""),"")</f>
        <v>CELLULAR MODEM, 5 YR PLAN (14)</v>
      </c>
      <c r="E32" s="10"/>
      <c r="F32" s="32"/>
    </row>
    <row r="33" spans="1:6" x14ac:dyDescent="0.25">
      <c r="A33" s="3" t="str">
        <f>IF(D33="","",IFERROR(IF(E33=0,"",VLOOKUP(C33,'Product List'!B:E,4,FALSE)),""))</f>
        <v/>
      </c>
      <c r="B33" s="33" t="s">
        <v>339</v>
      </c>
      <c r="C33" s="34" t="s">
        <v>340</v>
      </c>
      <c r="D33" s="60" t="str">
        <f>IFERROR(IF(VLOOKUP(C33,'Product List'!B:C,2,FALSE)=VLOOKUP(B33,'Product List'!$A$2179:$DE$2338,2,FALSE),IFERROR(VLOOKUP(C33,'Product List'!B:D,3,FALSE),""),""),"")</f>
        <v>FEMALE MC4, 10AWG (CONN W/ PIN)</v>
      </c>
      <c r="E33" s="11"/>
      <c r="F33" s="35"/>
    </row>
    <row r="34" spans="1:6" x14ac:dyDescent="0.25">
      <c r="A34" s="3" t="str">
        <f>IF(D34="","",IFERROR(IF(E34=0,"",VLOOKUP(C34,'Product List'!B:E,4,FALSE)),""))</f>
        <v/>
      </c>
      <c r="B34" s="56" t="s">
        <v>339</v>
      </c>
      <c r="C34" s="57" t="s">
        <v>341</v>
      </c>
      <c r="D34" s="52" t="str">
        <f>IFERROR(IF(VLOOKUP(C34,'Product List'!B:C,2,FALSE)=VLOOKUP(B34,'Product List'!$A$2179:$DE$2338,2,FALSE),IFERROR(VLOOKUP(C34,'Product List'!B:D,3,FALSE),""),""),"")</f>
        <v>MALE MC4, 10AWG (CONN W/PIN)</v>
      </c>
      <c r="E34" s="10"/>
      <c r="F34" s="32"/>
    </row>
    <row r="35" spans="1:6" x14ac:dyDescent="0.25">
      <c r="A35" s="3" t="str">
        <f>IF(D35="","",IFERROR(IF(E35=0,"",VLOOKUP(C35,'Product List'!B:E,4,FALSE)),""))</f>
        <v/>
      </c>
      <c r="B35" s="33" t="s">
        <v>464</v>
      </c>
      <c r="C35" s="34" t="s">
        <v>1465</v>
      </c>
      <c r="D35" s="60" t="str">
        <f>IFERROR(IF(VLOOKUP(C35,'Product List'!B:C,2,FALSE)=VLOOKUP(B35,'Product List'!$A$2179:$DE$2338,2,FALSE),IFERROR(VLOOKUP(C35,'Product List'!B:D,3,FALSE),""),""),"")</f>
        <v>SET-APP 11.4 KW HD WAVE</v>
      </c>
      <c r="E35" s="10"/>
      <c r="F35" s="32" t="s">
        <v>2948</v>
      </c>
    </row>
    <row r="36" spans="1:6" x14ac:dyDescent="0.25">
      <c r="A36" s="3" t="str">
        <f>IF(D36="","",IFERROR(IF(E36=0,"",VLOOKUP(C36,'Product List'!B:E,4,FALSE)),""))</f>
        <v/>
      </c>
      <c r="B36" s="56" t="s">
        <v>464</v>
      </c>
      <c r="C36" s="57" t="s">
        <v>1295</v>
      </c>
      <c r="D36" s="52" t="str">
        <f>IFERROR(IF(VLOOKUP(C36,'Product List'!B:C,2,FALSE)=VLOOKUP(B36,'Product List'!$A$2179:$DE$2338,2,FALSE),IFERROR(VLOOKUP(C36,'Product List'!B:D,3,FALSE),""),""),"")</f>
        <v>SNGL PH INVTR W/HD-WAVE TECH,10.0</v>
      </c>
      <c r="E36" s="11"/>
      <c r="F36" s="35"/>
    </row>
    <row r="37" spans="1:6" ht="18.75" customHeight="1" x14ac:dyDescent="0.25">
      <c r="A37" s="3" t="str">
        <f>IF(D37="","",IFERROR(IF(E37=0,"",VLOOKUP(C37,'Product List'!B:E,4,FALSE)),""))</f>
        <v/>
      </c>
      <c r="B37" s="33" t="s">
        <v>464</v>
      </c>
      <c r="C37" s="34" t="s">
        <v>1468</v>
      </c>
      <c r="D37" s="60" t="str">
        <f>IFERROR(IF(VLOOKUP(C37,'Product List'!B:C,2,FALSE)=VLOOKUP(B37,'Product List'!$A$2179:$DE$2338,2,FALSE),IFERROR(VLOOKUP(C37,'Product List'!B:D,3,FALSE),""),""),"")</f>
        <v>1 PH INVTR W/HD-WAVE TECHNLGY,7.6</v>
      </c>
      <c r="E37" s="10"/>
      <c r="F37" s="32"/>
    </row>
    <row r="38" spans="1:6" x14ac:dyDescent="0.25">
      <c r="A38" s="3" t="str">
        <f>IF(D38="","",IFERROR(IF(E38=0,"",VLOOKUP(C38,'Product List'!B:E,4,FALSE)),""))</f>
        <v/>
      </c>
      <c r="B38" s="56" t="s">
        <v>464</v>
      </c>
      <c r="C38" s="57" t="s">
        <v>1467</v>
      </c>
      <c r="D38" s="52" t="str">
        <f>IFERROR(IF(VLOOKUP(C38,'Product List'!B:C,2,FALSE)=VLOOKUP(B38,'Product List'!$A$2179:$DE$2338,2,FALSE),IFERROR(VLOOKUP(C38,'Product List'!B:D,3,FALSE),""),""),"")</f>
        <v>SNGL PHASE INVTR HD WAVE, 6.0K</v>
      </c>
      <c r="E38" s="11"/>
      <c r="F38" s="35"/>
    </row>
    <row r="39" spans="1:6" x14ac:dyDescent="0.25">
      <c r="A39" s="3" t="str">
        <f>IF(D39="","",IFERROR(IF(E39=0,"",VLOOKUP(C39,'Product List'!B:E,4,FALSE)),""))</f>
        <v/>
      </c>
      <c r="B39" s="33" t="s">
        <v>464</v>
      </c>
      <c r="C39" s="34" t="s">
        <v>1466</v>
      </c>
      <c r="D39" s="60" t="str">
        <f>IFERROR(IF(VLOOKUP(C39,'Product List'!B:C,2,FALSE)=VLOOKUP(B39,'Product List'!$A$2179:$DE$2338,2,FALSE),IFERROR(VLOOKUP(C39,'Product List'!B:D,3,FALSE),""),""),"")</f>
        <v>SNGL PH INVTR W/HD-WAVE TECH,1</v>
      </c>
      <c r="E39" s="10"/>
      <c r="F39" s="32"/>
    </row>
    <row r="40" spans="1:6" x14ac:dyDescent="0.25">
      <c r="A40" s="3" t="str">
        <f>IF(D40="","",IFERROR(IF(E40=0,"",VLOOKUP(C40,'Product List'!B:E,4,FALSE)),""))</f>
        <v/>
      </c>
      <c r="B40" s="33" t="s">
        <v>464</v>
      </c>
      <c r="C40" s="34" t="s">
        <v>471</v>
      </c>
      <c r="D40" s="60" t="str">
        <f>IFERROR(IF(VLOOKUP(C40,'Product List'!B:C,2,FALSE)=VLOOKUP(B40,'Product List'!$A$2179:$DE$2338,2,FALSE),IFERROR(VLOOKUP(C40,'Product List'!B:D,3,FALSE),""),""),"")</f>
        <v>SET-APP 3.8KW HD WAVE</v>
      </c>
      <c r="E40" s="10"/>
      <c r="F40" s="32"/>
    </row>
    <row r="41" spans="1:6" ht="18.75" x14ac:dyDescent="0.3">
      <c r="A41" s="3" t="str">
        <f>IF(D41="","",IFERROR(IF(E41=0,"",VLOOKUP(C41,'Product List'!B:E,4,FALSE)),""))</f>
        <v/>
      </c>
      <c r="B41" s="117" t="s">
        <v>653</v>
      </c>
      <c r="C41" s="117"/>
      <c r="D41" s="117"/>
      <c r="E41" s="117"/>
      <c r="F41" s="117"/>
    </row>
    <row r="42" spans="1:6" x14ac:dyDescent="0.25">
      <c r="A42" s="3" t="str">
        <f>IF(D42="","",IFERROR(IF(E42=0,"",VLOOKUP(C42,'Product List'!B:E,4,FALSE)),""))</f>
        <v/>
      </c>
      <c r="B42" s="27" t="s">
        <v>4</v>
      </c>
      <c r="C42" s="27" t="s">
        <v>643</v>
      </c>
      <c r="D42" s="27" t="s">
        <v>6</v>
      </c>
      <c r="E42" s="27" t="s">
        <v>644</v>
      </c>
      <c r="F42" s="27" t="s">
        <v>645</v>
      </c>
    </row>
    <row r="43" spans="1:6" x14ac:dyDescent="0.25">
      <c r="A43" s="3" t="str">
        <f>IF(D43="","",IFERROR(IF(E43=0,"",VLOOKUP(C43,'Product List'!B:E,4,FALSE)),""))</f>
        <v/>
      </c>
      <c r="B43" s="36" t="s">
        <v>254</v>
      </c>
      <c r="C43" s="37" t="s">
        <v>291</v>
      </c>
      <c r="D43" s="39" t="str">
        <f>IFERROR(IF(VLOOKUP(C43,'Product List'!B:C,2,FALSE)=VLOOKUP(B43,'Product List'!$A$2179:$DE$2338,2,FALSE),IFERROR(VLOOKUP(C43,'Product List'!B:D,3,FALSE),""),""),"")</f>
        <v>MILL FINISH 168" (14FT) XR-10</v>
      </c>
      <c r="E43" s="12"/>
      <c r="F43" s="39"/>
    </row>
    <row r="44" spans="1:6" x14ac:dyDescent="0.25">
      <c r="A44" s="3" t="str">
        <f>IF(D44="","",IFERROR(IF(E44=0,"",VLOOKUP(C44,'Product List'!B:E,4,FALSE)),""))</f>
        <v/>
      </c>
      <c r="B44" s="58" t="s">
        <v>254</v>
      </c>
      <c r="C44" s="59" t="s">
        <v>641</v>
      </c>
      <c r="D44" s="61" t="str">
        <f>IFERROR(IF(VLOOKUP(C44,'Product List'!B:C,2,FALSE)=VLOOKUP(B44,'Product List'!$A$2179:$DE$2338,2,FALSE),IFERROR(VLOOKUP(C44,'Product List'!B:D,3,FALSE),""),""),"")</f>
        <v>BONDED SPLICE, XR10 (20)</v>
      </c>
      <c r="E44" s="10"/>
      <c r="F44" s="32"/>
    </row>
    <row r="45" spans="1:6" x14ac:dyDescent="0.25">
      <c r="A45" s="3" t="str">
        <f>IF(D45="","",IFERROR(IF(E45=0,"",VLOOKUP(C45,'Product List'!B:E,4,FALSE)),""))</f>
        <v/>
      </c>
      <c r="B45" s="36" t="s">
        <v>254</v>
      </c>
      <c r="C45" s="37" t="s">
        <v>282</v>
      </c>
      <c r="D45" s="39" t="str">
        <f>IFERROR(IF(VLOOKUP(C45,'Product List'!B:C,2,FALSE)=VLOOKUP(B45,'Product List'!$A$2179:$DE$2338,2,FALSE),IFERROR(VLOOKUP(C45,'Product List'!B:D,3,FALSE),""),""),"")</f>
        <v>UNIVERSAL MID CLAMP, MILL (200)</v>
      </c>
      <c r="E45" s="12"/>
      <c r="F45" s="39"/>
    </row>
    <row r="46" spans="1:6" x14ac:dyDescent="0.25">
      <c r="A46" s="3" t="str">
        <f>IF(D46="","",IFERROR(IF(E46=0,"",VLOOKUP(C46,'Product List'!B:E,4,FALSE)),""))</f>
        <v/>
      </c>
      <c r="B46" s="58" t="s">
        <v>254</v>
      </c>
      <c r="C46" s="59" t="s">
        <v>961</v>
      </c>
      <c r="D46" s="61" t="str">
        <f>IFERROR(IF(VLOOKUP(C46,'Product List'!B:C,2,FALSE)=VLOOKUP(B46,'Product List'!$A$2179:$DE$2338,2,FALSE),IFERROR(VLOOKUP(C46,'Product List'!B:D,3,FALSE),""),""),"")</f>
        <v>STOPPER SLEEVE, 30MM, MILL</v>
      </c>
      <c r="E46" s="10"/>
      <c r="F46" s="32" t="s">
        <v>2912</v>
      </c>
    </row>
    <row r="47" spans="1:6" x14ac:dyDescent="0.25">
      <c r="A47" s="3" t="str">
        <f>IF(D47="","",IFERROR(IF(E47=0,"",VLOOKUP(C47,'Product List'!B:E,4,FALSE)),""))</f>
        <v/>
      </c>
      <c r="B47" s="36" t="s">
        <v>254</v>
      </c>
      <c r="C47" s="37" t="s">
        <v>264</v>
      </c>
      <c r="D47" s="39" t="str">
        <f>IFERROR(IF(VLOOKUP(C47,'Product List'!B:C,2,FALSE)=VLOOKUP(B47,'Product List'!$A$2179:$DE$2338,2,FALSE),IFERROR(VLOOKUP(C47,'Product List'!B:D,3,FALSE),""),""),"")</f>
        <v>HIDDEN UNVRSL END CLAMP (100)</v>
      </c>
      <c r="E47" s="12"/>
      <c r="F47" s="39"/>
    </row>
    <row r="48" spans="1:6" x14ac:dyDescent="0.25">
      <c r="A48" s="3" t="str">
        <f>IF(D48="","",IFERROR(IF(#REF!=0,"",VLOOKUP(C48,'Product List'!B:E,4,FALSE)),""))</f>
        <v/>
      </c>
      <c r="B48" s="58" t="s">
        <v>254</v>
      </c>
      <c r="C48" s="59" t="s">
        <v>302</v>
      </c>
      <c r="D48" s="61" t="str">
        <f>IFERROR(IF(VLOOKUP(C48,'Product List'!B:C,2,FALSE)=VLOOKUP(B48,'Product List'!$A$2179:$DE$2338,2,FALSE),IFERROR(VLOOKUP(C48,'Product List'!B:D,3,FALSE),""),""),"")</f>
        <v>LO-PRO GRND LUG (100)</v>
      </c>
      <c r="E48" s="12"/>
      <c r="F48" s="32"/>
    </row>
    <row r="49" spans="1:6" x14ac:dyDescent="0.25">
      <c r="A49" s="3"/>
      <c r="B49" s="58" t="s">
        <v>254</v>
      </c>
      <c r="C49" s="59" t="s">
        <v>1151</v>
      </c>
      <c r="D49" s="39" t="str">
        <f>IFERROR(IF(VLOOKUP(C49,'Product List'!B:C,2,FALSE)=VLOOKUP(B49,'Product List'!$A$2179:$DE$2338,2,FALSE),IFERROR(VLOOKUP(C49,'Product List'!B:D,3,FALSE),""),""),"")</f>
        <v>HALO ULTRA GRIP, MILL</v>
      </c>
      <c r="E49" s="10"/>
      <c r="F49" s="32" t="s">
        <v>2907</v>
      </c>
    </row>
    <row r="50" spans="1:6" x14ac:dyDescent="0.25">
      <c r="A50" s="3" t="str">
        <f>IF(D50="","",IFERROR(IF(E48=0,"",VLOOKUP(C50,'Product List'!B:E,4,FALSE)),""))</f>
        <v/>
      </c>
      <c r="B50" s="36" t="s">
        <v>254</v>
      </c>
      <c r="C50" s="37" t="s">
        <v>28</v>
      </c>
      <c r="D50" s="39" t="str">
        <f>IFERROR(IF(VLOOKUP(C50,'Product List'!B:C,2,FALSE)=VLOOKUP(B50,'Product List'!$A$2179:$DE$2338,2,FALSE),IFERROR(VLOOKUP(C50,'Product List'!B:D,3,FALSE),""),""),"")</f>
        <v>MICRO-INVERTER BOLT (300)</v>
      </c>
      <c r="F50" s="39"/>
    </row>
    <row r="51" spans="1:6" x14ac:dyDescent="0.25">
      <c r="A51" s="3" t="str">
        <f>IF(D51="","",IFERROR(IF(E51=0,"",VLOOKUP(C51,'Product List'!B:E,4,FALSE)),""))</f>
        <v/>
      </c>
      <c r="B51" s="58" t="s">
        <v>254</v>
      </c>
      <c r="C51" s="59" t="s">
        <v>263</v>
      </c>
      <c r="D51" s="61" t="str">
        <f>IFERROR(IF(VLOOKUP(C51,'Product List'!B:C,2,FALSE)=VLOOKUP(B51,'Product List'!$A$2179:$DE$2338,2,FALSE),IFERROR(VLOOKUP(C51,'Product List'!B:D,3,FALSE),""),""),"")</f>
        <v>T-BOLT (200)</v>
      </c>
      <c r="E51" s="10"/>
      <c r="F51" s="32" t="s">
        <v>2908</v>
      </c>
    </row>
    <row r="52" spans="1:6" x14ac:dyDescent="0.25">
      <c r="A52" s="3"/>
      <c r="B52" s="58" t="s">
        <v>254</v>
      </c>
      <c r="C52" s="59" t="s">
        <v>1148</v>
      </c>
      <c r="D52" s="61" t="s">
        <v>2906</v>
      </c>
      <c r="E52" s="10"/>
      <c r="F52" s="32" t="s">
        <v>2911</v>
      </c>
    </row>
    <row r="53" spans="1:6" x14ac:dyDescent="0.25">
      <c r="A53" s="3" t="s">
        <v>2910</v>
      </c>
      <c r="B53" s="36" t="s">
        <v>571</v>
      </c>
      <c r="C53" s="37" t="s">
        <v>614</v>
      </c>
      <c r="D53" s="39" t="s">
        <v>2924</v>
      </c>
      <c r="E53" s="12"/>
      <c r="F53" s="39" t="s">
        <v>2922</v>
      </c>
    </row>
    <row r="54" spans="1:6" x14ac:dyDescent="0.25">
      <c r="A54" s="3" t="s">
        <v>2910</v>
      </c>
      <c r="B54" s="58" t="s">
        <v>571</v>
      </c>
      <c r="C54" s="59" t="s">
        <v>610</v>
      </c>
      <c r="D54" s="61" t="s">
        <v>2925</v>
      </c>
      <c r="E54" s="10"/>
      <c r="F54" s="32" t="s">
        <v>2923</v>
      </c>
    </row>
    <row r="55" spans="1:6" x14ac:dyDescent="0.25">
      <c r="A55" s="3" t="s">
        <v>2910</v>
      </c>
      <c r="B55" s="36" t="s">
        <v>571</v>
      </c>
      <c r="C55" s="37" t="s">
        <v>606</v>
      </c>
      <c r="D55" s="39" t="s">
        <v>2926</v>
      </c>
      <c r="E55" s="12"/>
      <c r="F55" s="39" t="s">
        <v>2928</v>
      </c>
    </row>
    <row r="56" spans="1:6" x14ac:dyDescent="0.25">
      <c r="A56" s="3" t="s">
        <v>2910</v>
      </c>
      <c r="B56" s="58" t="s">
        <v>571</v>
      </c>
      <c r="C56" s="59" t="s">
        <v>608</v>
      </c>
      <c r="D56" s="61" t="s">
        <v>2927</v>
      </c>
      <c r="E56" s="10"/>
      <c r="F56" s="32" t="s">
        <v>2929</v>
      </c>
    </row>
    <row r="57" spans="1:6" x14ac:dyDescent="0.25">
      <c r="A57" s="3" t="s">
        <v>2910</v>
      </c>
      <c r="B57" s="58" t="s">
        <v>571</v>
      </c>
      <c r="C57" s="59" t="s">
        <v>584</v>
      </c>
      <c r="D57" s="61" t="s">
        <v>2762</v>
      </c>
      <c r="E57" s="12"/>
      <c r="F57" s="32"/>
    </row>
    <row r="58" spans="1:6" x14ac:dyDescent="0.25">
      <c r="A58" s="3" t="s">
        <v>2910</v>
      </c>
      <c r="B58" s="36" t="s">
        <v>571</v>
      </c>
      <c r="C58" s="37" t="s">
        <v>44</v>
      </c>
      <c r="D58" s="39" t="s">
        <v>2771</v>
      </c>
      <c r="F58" s="39"/>
    </row>
    <row r="59" spans="1:6" x14ac:dyDescent="0.25">
      <c r="A59" s="3" t="s">
        <v>2910</v>
      </c>
      <c r="B59" s="36" t="s">
        <v>571</v>
      </c>
      <c r="C59" s="37" t="s">
        <v>586</v>
      </c>
      <c r="D59" s="39" t="s">
        <v>2764</v>
      </c>
      <c r="E59" s="12"/>
      <c r="F59" s="39"/>
    </row>
    <row r="60" spans="1:6" x14ac:dyDescent="0.25">
      <c r="A60" s="3" t="s">
        <v>2910</v>
      </c>
      <c r="B60" s="36" t="s">
        <v>200</v>
      </c>
      <c r="C60" s="37">
        <v>4000019</v>
      </c>
      <c r="D60" s="39" t="s">
        <v>1791</v>
      </c>
      <c r="E60" s="12"/>
      <c r="F60" s="39"/>
    </row>
    <row r="61" spans="1:6" x14ac:dyDescent="0.25">
      <c r="A61" s="3" t="s">
        <v>2910</v>
      </c>
      <c r="B61" s="58" t="s">
        <v>200</v>
      </c>
      <c r="C61" s="59">
        <v>4000051</v>
      </c>
      <c r="D61" s="61" t="s">
        <v>1795</v>
      </c>
      <c r="E61" s="10"/>
      <c r="F61" s="32"/>
    </row>
    <row r="62" spans="1:6" x14ac:dyDescent="0.25">
      <c r="A62" s="3" t="s">
        <v>2910</v>
      </c>
      <c r="B62" s="36" t="s">
        <v>200</v>
      </c>
      <c r="C62" s="37" t="s">
        <v>203</v>
      </c>
      <c r="D62" s="39" t="s">
        <v>1808</v>
      </c>
      <c r="E62" s="12"/>
      <c r="F62" s="39"/>
    </row>
    <row r="63" spans="1:6" x14ac:dyDescent="0.25">
      <c r="A63" s="3" t="s">
        <v>2910</v>
      </c>
      <c r="B63" s="58" t="s">
        <v>200</v>
      </c>
      <c r="C63" s="59">
        <v>4000176</v>
      </c>
      <c r="D63" s="61" t="s">
        <v>1805</v>
      </c>
      <c r="E63" s="10"/>
      <c r="F63" s="32"/>
    </row>
    <row r="64" spans="1:6" x14ac:dyDescent="0.25">
      <c r="A64" s="3" t="s">
        <v>2910</v>
      </c>
      <c r="B64" s="36" t="s">
        <v>200</v>
      </c>
      <c r="C64" s="37" t="s">
        <v>202</v>
      </c>
      <c r="D64" s="39" t="s">
        <v>1794</v>
      </c>
      <c r="E64" s="12"/>
      <c r="F64" s="39"/>
    </row>
    <row r="65" spans="1:6" x14ac:dyDescent="0.25">
      <c r="A65" s="3" t="s">
        <v>2910</v>
      </c>
      <c r="B65" s="58" t="s">
        <v>200</v>
      </c>
      <c r="C65" s="59" t="s">
        <v>201</v>
      </c>
      <c r="D65" s="61" t="s">
        <v>1790</v>
      </c>
      <c r="E65" s="12"/>
      <c r="F65" s="32"/>
    </row>
    <row r="66" spans="1:6" x14ac:dyDescent="0.25">
      <c r="A66" s="3" t="s">
        <v>2910</v>
      </c>
      <c r="B66" s="36" t="s">
        <v>200</v>
      </c>
      <c r="C66" s="37">
        <v>4000048</v>
      </c>
      <c r="D66" s="39" t="s">
        <v>1793</v>
      </c>
      <c r="E66" s="3"/>
      <c r="F66" s="39"/>
    </row>
    <row r="67" spans="1:6" x14ac:dyDescent="0.25">
      <c r="A67" s="3" t="s">
        <v>2910</v>
      </c>
      <c r="B67" s="58" t="s">
        <v>200</v>
      </c>
      <c r="C67" s="59" t="s">
        <v>204</v>
      </c>
      <c r="D67" s="61" t="s">
        <v>1809</v>
      </c>
      <c r="F67" s="32"/>
    </row>
    <row r="68" spans="1:6" x14ac:dyDescent="0.25">
      <c r="A68" s="3" t="s">
        <v>2910</v>
      </c>
      <c r="B68" s="36" t="s">
        <v>200</v>
      </c>
      <c r="C68" s="37">
        <v>4000162</v>
      </c>
      <c r="D68" s="39" t="s">
        <v>1804</v>
      </c>
      <c r="E68" s="12"/>
      <c r="F68" s="39"/>
    </row>
    <row r="69" spans="1:6" x14ac:dyDescent="0.25">
      <c r="A69" s="3" t="s">
        <v>2910</v>
      </c>
      <c r="B69" s="58" t="s">
        <v>200</v>
      </c>
      <c r="C69" s="59">
        <v>4000115</v>
      </c>
      <c r="D69" s="61" t="s">
        <v>1800</v>
      </c>
      <c r="E69" s="10"/>
      <c r="F69" s="32"/>
    </row>
    <row r="70" spans="1:6" x14ac:dyDescent="0.25">
      <c r="A70" s="3" t="str">
        <f>IF(D70="","",IFERROR(IF(E70=0,"",VLOOKUP(C70,'Product List'!B:E,4,FALSE)),""))</f>
        <v/>
      </c>
      <c r="B70" s="36" t="s">
        <v>200</v>
      </c>
      <c r="C70" s="37">
        <v>4000162</v>
      </c>
      <c r="D70" s="39" t="str">
        <f>IFERROR(IF(VLOOKUP(C70,'Product List'!B:C,2,FALSE)=VLOOKUP(B70,'Product List'!$A$2179:$DE$2338,2,FALSE),IFERROR(VLOOKUP(C70,'Product List'!B:D,3,FALSE),""),""),"")</f>
        <v>SPLICE FOOT XL (20)</v>
      </c>
      <c r="E70" s="12"/>
      <c r="F70" s="39"/>
    </row>
    <row r="71" spans="1:6" x14ac:dyDescent="0.25">
      <c r="A71" s="3" t="str">
        <f>IF(D71="","",IFERROR(IF(E71=0,"",VLOOKUP(C71,'Product List'!B:E,4,FALSE)),""))</f>
        <v/>
      </c>
      <c r="B71" s="58" t="s">
        <v>200</v>
      </c>
      <c r="C71" s="59">
        <v>4000115</v>
      </c>
      <c r="D71" s="61" t="str">
        <f>IFERROR(IF(VLOOKUP(C71,'Product List'!B:C,2,FALSE)=VLOOKUP(B71,'Product List'!$A$2179:$DE$2338,2,FALSE),IFERROR(VLOOKUP(C71,'Product List'!B:D,3,FALSE),""),""),"")</f>
        <v>SPLICE FOOT XL SCREW M5X60</v>
      </c>
      <c r="E71" s="10"/>
      <c r="F71" s="32"/>
    </row>
    <row r="72" spans="1:6" x14ac:dyDescent="0.25">
      <c r="A72" s="3" t="str">
        <f>IF(D72="","",IFERROR(IF(E72=0,"",VLOOKUP(C72,'Product List'!B:E,4,FALSE)),""))</f>
        <v/>
      </c>
      <c r="B72" s="58" t="s">
        <v>1008</v>
      </c>
      <c r="C72" s="59" t="s">
        <v>439</v>
      </c>
      <c r="D72" s="61" t="str">
        <f>IFERROR(IF(VLOOKUP(C72,'Product List'!B:C,2,FALSE)=VLOOKUP(B72,'Product List'!$A$2179:$DE$2338,2,FALSE),IFERROR(VLOOKUP(C72,'Product List'!B:D,3,FALSE),""),""),"")</f>
        <v>SOLAR FOOT (50) [200]</v>
      </c>
      <c r="E72" s="10"/>
      <c r="F72" s="32"/>
    </row>
    <row r="73" spans="1:6" x14ac:dyDescent="0.25">
      <c r="A73" s="3" t="str">
        <f>IF(D73="","",IFERROR(IF(E73=0,"",VLOOKUP(C73,'Product List'!B:E,4,FALSE)),""))</f>
        <v/>
      </c>
      <c r="B73" s="36" t="s">
        <v>883</v>
      </c>
      <c r="C73" s="37" t="s">
        <v>697</v>
      </c>
      <c r="D73" s="39" t="str">
        <f>IFERROR(IF(VLOOKUP(C73,'Product List'!B:C,2,FALSE)=VLOOKUP(B73,'Product List'!$A$2179:$DE$2338,2,FALSE),IFERROR(VLOOKUP(C73,'Product List'!B:D,3,FALSE),""),""),"")</f>
        <v>GEN 2 MINI, 20/BX  (80) [2560]</v>
      </c>
      <c r="E73" s="12"/>
      <c r="F73" s="39"/>
    </row>
    <row r="74" spans="1:6" x14ac:dyDescent="0.25">
      <c r="A74" s="3" t="str">
        <f>IF(D74="","",IFERROR(IF(E74=0,"",VLOOKUP(C74,'Product List'!B:E,4,FALSE)),""))</f>
        <v/>
      </c>
      <c r="B74" s="58" t="s">
        <v>532</v>
      </c>
      <c r="C74" s="59" t="s">
        <v>1472</v>
      </c>
      <c r="D74" s="61" t="str">
        <f>IFERROR(IF(VLOOKUP(C74,'Product List'!B:C,2,FALSE)=VLOOKUP(B74,'Product List'!$A$2179:$DE$2338,2,FALSE),IFERROR(VLOOKUP(C74,'Product List'!B:D,3,FALSE),""),""),"")</f>
        <v>5IN WOOD DECK TOPTILE MOUNT BLACK</v>
      </c>
      <c r="E74" s="10"/>
      <c r="F74" s="32"/>
    </row>
    <row r="75" spans="1:6" x14ac:dyDescent="0.25">
      <c r="A75" s="3" t="str">
        <f>IF(D75="","",IFERROR(IF(E75=0,"",VLOOKUP(C75,'Product List'!B:E,4,FALSE)),""))</f>
        <v/>
      </c>
      <c r="B75" s="36" t="s">
        <v>532</v>
      </c>
      <c r="C75" s="37" t="s">
        <v>1315</v>
      </c>
      <c r="D75" s="39" t="str">
        <f>IFERROR(IF(VLOOKUP(C75,'Product List'!B:C,2,FALSE)=VLOOKUP(B75,'Product List'!$A$2179:$DE$2338,2,FALSE),IFERROR(VLOOKUP(C75,'Product List'!B:D,3,FALSE),""),""),"")</f>
        <v>7" WOOD DECK TOPTILE MOUNT BLACK</v>
      </c>
      <c r="E75" s="12"/>
      <c r="F75" s="39"/>
    </row>
    <row r="76" spans="1:6" x14ac:dyDescent="0.25">
      <c r="A76" s="3" t="str">
        <f>IF(D76="","",IFERROR(IF(E76=0,"",VLOOKUP(C76,'Product List'!B:E,4,FALSE)),""))</f>
        <v/>
      </c>
      <c r="B76" s="58" t="s">
        <v>254</v>
      </c>
      <c r="C76" s="59" t="s">
        <v>277</v>
      </c>
      <c r="D76" s="61" t="str">
        <f>IFERROR(IF(VLOOKUP(C76,'Product List'!B:C,2,FALSE)=VLOOKUP(B76,'Product List'!$A$2179:$DE$2338,2,FALSE),IFERROR(VLOOKUP(C76,'Product List'!B:D,3,FALSE),""),""),"")</f>
        <v>BLK SLOTTED L-FOOT (100)</v>
      </c>
      <c r="E76" s="10"/>
      <c r="F76" s="32"/>
    </row>
    <row r="77" spans="1:6" x14ac:dyDescent="0.25">
      <c r="A77" s="3" t="str">
        <f>IF(D77="","",IFERROR(IF(E77=0,"",VLOOKUP(C77,'Product List'!B:E,4,FALSE)),""))</f>
        <v/>
      </c>
      <c r="B77" s="58" t="s">
        <v>571</v>
      </c>
      <c r="C77" s="59" t="s">
        <v>605</v>
      </c>
      <c r="D77" s="61" t="str">
        <f>IFERROR(IF(VLOOKUP(C77,'Product List'!B:C,2,FALSE)=VLOOKUP(B77,'Product List'!$A$2179:$DE$2338,2,FALSE),IFERROR(VLOOKUP(C77,'Product List'!B:D,3,FALSE),""),""),"")</f>
        <v>UAF BLK MID CLAMP, 30-46MM (20)</v>
      </c>
      <c r="E77" s="10"/>
      <c r="F77" s="32"/>
    </row>
    <row r="78" spans="1:6" x14ac:dyDescent="0.25">
      <c r="A78" s="3" t="str">
        <f>IF(D78="","",IFERROR(IF(E78=0,"",VLOOKUP(C78,'Product List'!B:E,4,FALSE)),""))</f>
        <v/>
      </c>
      <c r="B78" s="36" t="s">
        <v>571</v>
      </c>
      <c r="C78" s="37" t="s">
        <v>607</v>
      </c>
      <c r="D78" s="39" t="str">
        <f>IFERROR(IF(VLOOKUP(C78,'Product List'!B:C,2,FALSE)=VLOOKUP(B78,'Product List'!$A$2179:$DE$2338,2,FALSE),IFERROR(VLOOKUP(C78,'Product List'!B:D,3,FALSE),""),""),"")</f>
        <v>UAF BLK END CLAMP, 30-46MM (20)</v>
      </c>
      <c r="E78" s="12"/>
      <c r="F78" s="39"/>
    </row>
    <row r="79" spans="1:6" x14ac:dyDescent="0.25">
      <c r="A79" s="3" t="str">
        <f>IF(D79="","",IFERROR(IF(E79=0,"",VLOOKUP(C79,'Product List'!B:E,4,FALSE)),""))</f>
        <v/>
      </c>
      <c r="B79" s="58" t="s">
        <v>571</v>
      </c>
      <c r="C79" s="59" t="s">
        <v>615</v>
      </c>
      <c r="D79" s="61" t="str">
        <f>IFERROR(IF(VLOOKUP(C79,'Product List'!B:C,2,FALSE)=VLOOKUP(B79,'Product List'!$A$2179:$DE$2338,2,FALSE),IFERROR(VLOOKUP(C79,'Product List'!B:D,3,FALSE),""),""),"")</f>
        <v/>
      </c>
      <c r="E79" s="10"/>
      <c r="F79" s="32"/>
    </row>
    <row r="80" spans="1:6" x14ac:dyDescent="0.25">
      <c r="A80" s="3" t="str">
        <f>IF(D80="","",IFERROR(IF(E80=0,"",VLOOKUP(C80,'Product List'!B:E,4,FALSE)),""))</f>
        <v/>
      </c>
      <c r="B80" s="36" t="s">
        <v>993</v>
      </c>
      <c r="C80" s="37" t="s">
        <v>449</v>
      </c>
      <c r="D80" s="39" t="str">
        <f>IFERROR(IF(VLOOKUP(C80,'Product List'!B:C,2,FALSE)=VLOOKUP(B80,'Product List'!$A$2179:$DE$2338,2,FALSE),IFERROR(VLOOKUP(C80,'Product List'!B:D,3,FALSE),""),""),"")</f>
        <v>SOLAR STACK - STANDARD PROFILE 8"</v>
      </c>
      <c r="E80" s="12"/>
      <c r="F80" s="39"/>
    </row>
    <row r="81" spans="1:6" x14ac:dyDescent="0.25">
      <c r="A81" s="3" t="str">
        <f>IF(D81="","",IFERROR(IF(E81=0,"",VLOOKUP(C81,'Product List'!B:E,4,FALSE)),""))</f>
        <v/>
      </c>
      <c r="B81" s="58" t="s">
        <v>993</v>
      </c>
      <c r="C81" s="59" t="s">
        <v>451</v>
      </c>
      <c r="D81" s="61" t="str">
        <f>IFERROR(IF(VLOOKUP(C81,'Product List'!B:C,2,FALSE)=VLOOKUP(B81,'Product List'!$A$2179:$DE$2338,2,FALSE),IFERROR(VLOOKUP(C81,'Product List'!B:D,3,FALSE),""),""),"")</f>
        <v>FOAM ADHESIVE AH-160 PROPACK 30</v>
      </c>
      <c r="E81" s="10"/>
      <c r="F81" s="32"/>
    </row>
    <row r="82" spans="1:6" ht="18.75" customHeight="1" x14ac:dyDescent="0.25">
      <c r="A82" s="3" t="str">
        <f>IF(D82="","",IFERROR(IF(E82=0,"",VLOOKUP(C82,'Product List'!B:E,4,FALSE)),""))</f>
        <v/>
      </c>
      <c r="B82" s="36"/>
      <c r="C82" s="37" t="s">
        <v>614</v>
      </c>
      <c r="D82" s="39" t="str">
        <f>IFERROR(IF(VLOOKUP(C82,'Product List'!B:C,2,FALSE)=VLOOKUP(B82,'Product List'!$A$2179:$DE$2338,2,FALSE),IFERROR(VLOOKUP(C82,'Product List'!B:D,3,FALSE),""),""),"")</f>
        <v/>
      </c>
      <c r="E82" s="12"/>
      <c r="F82" s="39"/>
    </row>
    <row r="83" spans="1:6" x14ac:dyDescent="0.25">
      <c r="A83" s="3" t="str">
        <f>IF(D83="","",IFERROR(IF(E83=0,"",VLOOKUP(C83,'Product List'!B:E,4,FALSE)),""))</f>
        <v/>
      </c>
      <c r="B83" s="58"/>
      <c r="C83" s="59" t="s">
        <v>614</v>
      </c>
      <c r="D83" s="61" t="str">
        <f>IFERROR(IF(VLOOKUP(C83,'Product List'!B:C,2,FALSE)=VLOOKUP(B83,'Product List'!$A$2179:$DE$2338,2,FALSE),IFERROR(VLOOKUP(C83,'Product List'!B:D,3,FALSE),""),""),"")</f>
        <v/>
      </c>
      <c r="E83" s="10"/>
      <c r="F83" s="32"/>
    </row>
    <row r="84" spans="1:6" x14ac:dyDescent="0.25">
      <c r="A84" s="3" t="str">
        <f>IF(D84="","",IFERROR(IF(E84=0,"",VLOOKUP(C84,'Product List'!B:E,4,FALSE)),""))</f>
        <v/>
      </c>
      <c r="B84" s="36"/>
      <c r="C84" s="37" t="s">
        <v>614</v>
      </c>
      <c r="D84" s="39" t="str">
        <f>IFERROR(IF(VLOOKUP(C84,'Product List'!B:C,2,FALSE)=VLOOKUP(B84,'Product List'!$A$2179:$DE$2338,2,FALSE),IFERROR(VLOOKUP(C84,'Product List'!B:D,3,FALSE),""),""),"")</f>
        <v/>
      </c>
      <c r="E84" s="12"/>
      <c r="F84" s="39"/>
    </row>
    <row r="85" spans="1:6" x14ac:dyDescent="0.25">
      <c r="A85" s="3" t="str">
        <f>IF(D85="","",IFERROR(IF(E85=0,"",VLOOKUP(C85,'Product List'!B:E,4,FALSE)),""))</f>
        <v/>
      </c>
      <c r="B85" s="58"/>
      <c r="C85" s="59" t="s">
        <v>614</v>
      </c>
      <c r="D85" s="61" t="str">
        <f>IFERROR(IF(VLOOKUP(C85,'Product List'!B:C,2,FALSE)=VLOOKUP(B85,'Product List'!$A$2179:$DE$2338,2,FALSE),IFERROR(VLOOKUP(C85,'Product List'!B:D,3,FALSE),""),""),"")</f>
        <v/>
      </c>
      <c r="E85" s="10"/>
      <c r="F85" s="32"/>
    </row>
    <row r="86" spans="1:6" ht="18.75" x14ac:dyDescent="0.25">
      <c r="A86" s="3" t="str">
        <f>IF(D86="","",IFERROR(IF(E86=0,"",VLOOKUP(C86,'Product List'!B:E,4,FALSE)),""))</f>
        <v/>
      </c>
      <c r="B86" s="118" t="s">
        <v>655</v>
      </c>
      <c r="C86" s="118"/>
      <c r="D86" s="118"/>
      <c r="E86" s="118"/>
      <c r="F86" s="118"/>
    </row>
    <row r="87" spans="1:6" x14ac:dyDescent="0.25">
      <c r="A87" s="3" t="str">
        <f>IF(D87="","",IFERROR(IF(E87=0,"",VLOOKUP(C87,'Product List'!B:E,4,FALSE)),""))</f>
        <v/>
      </c>
      <c r="B87" s="27" t="s">
        <v>4</v>
      </c>
      <c r="C87" s="27" t="s">
        <v>643</v>
      </c>
      <c r="D87" s="27" t="s">
        <v>6</v>
      </c>
      <c r="E87" s="27" t="s">
        <v>644</v>
      </c>
      <c r="F87" s="27" t="s">
        <v>645</v>
      </c>
    </row>
    <row r="88" spans="1:6" x14ac:dyDescent="0.25">
      <c r="A88" s="3">
        <f>IF(D88="","",IFERROR(IF(E88=0,"",VLOOKUP(C88,'Product List'!B:E,4,FALSE)),""))</f>
        <v>6000001039</v>
      </c>
      <c r="B88" s="41" t="s">
        <v>904</v>
      </c>
      <c r="C88" s="42">
        <v>1604</v>
      </c>
      <c r="D88" s="43" t="str">
        <f>IFERROR(IF(VLOOKUP(C88,'Product List'!B:C,2,FALSE)=VLOOKUP(B88,'Product List'!$A$2179:$DE$2338,2,FALSE),IFERROR(VLOOKUP(C88,'Product List'!B:D,3,FALSE),""),""),"")</f>
        <v>4 STRING DC PASS THRU KIT</v>
      </c>
      <c r="E88" s="13">
        <v>1</v>
      </c>
      <c r="F88" s="43"/>
    </row>
    <row r="89" spans="1:6" x14ac:dyDescent="0.25">
      <c r="A89" s="3">
        <f>IF(D89="","",IFERROR(IF(E89=0,"",VLOOKUP(C89,'Product List'!B:E,4,FALSE)),""))</f>
        <v>6000000358</v>
      </c>
      <c r="B89" s="62" t="s">
        <v>898</v>
      </c>
      <c r="C89" s="63" t="s">
        <v>956</v>
      </c>
      <c r="D89" s="64" t="str">
        <f>IFERROR(IF(VLOOKUP(C89,'Product List'!B:C,2,FALSE)=VLOOKUP(B89,'Product List'!$A$2179:$DE$2338,2,FALSE),IFERROR(VLOOKUP(C89,'Product List'!B:D,3,FALSE),""),""),"")</f>
        <v>JUNCTION BOX 2 (320 PER PALLET)</v>
      </c>
      <c r="E89" s="10">
        <v>1</v>
      </c>
      <c r="F89" s="32"/>
    </row>
    <row r="90" spans="1:6" x14ac:dyDescent="0.25">
      <c r="A90" s="3" t="str">
        <f>IF(D90="","",IFERROR(IF(E90=0,"",VLOOKUP(C90,'Product List'!B:E,4,FALSE)),""))</f>
        <v/>
      </c>
      <c r="B90" s="41" t="s">
        <v>907</v>
      </c>
      <c r="C90" s="42" t="s">
        <v>621</v>
      </c>
      <c r="D90" s="43" t="str">
        <f>IFERROR(IF(VLOOKUP(C90,'Product List'!B:C,2,FALSE)=VLOOKUP(B90,'Product List'!$A$2179:$DE$2338,2,FALSE),IFERROR(VLOOKUP(C90,'Product List'!B:D,3,FALSE),""),""),"")</f>
        <v>LO-PRO RESI DC TRANS BOX</v>
      </c>
      <c r="E90" s="13"/>
      <c r="F90" s="43" t="s">
        <v>2900</v>
      </c>
    </row>
    <row r="91" spans="1:6" x14ac:dyDescent="0.25">
      <c r="A91" s="3">
        <f>IF(D91="","",IFERROR(IF(E91=0,"",VLOOKUP(C91,'Product List'!B:E,4,FALSE)),""))</f>
        <v>6000001041</v>
      </c>
      <c r="B91" s="41" t="s">
        <v>904</v>
      </c>
      <c r="C91" s="42" t="s">
        <v>25</v>
      </c>
      <c r="D91" s="43" t="str">
        <f>IFERROR(IF(VLOOKUP(C91,'Product List'!B:C,2,FALSE)=VLOOKUP(B91,'Product List'!$A$2179:$DE$2338,2,FALSE),IFERROR(VLOOKUP(C91,'Product List'!B:D,3,FALSE),""),""),"")</f>
        <v>SOLADECK BLACK (NEW STYLE)</v>
      </c>
      <c r="E91" s="13">
        <v>1</v>
      </c>
      <c r="F91" s="43"/>
    </row>
    <row r="92" spans="1:6" x14ac:dyDescent="0.25">
      <c r="A92" s="3" t="str">
        <f>IF(D92="","",IFERROR(IF(E92=0,"",VLOOKUP(C92,'Product List'!B:E,4,FALSE)),""))</f>
        <v/>
      </c>
      <c r="B92" s="62"/>
      <c r="C92" s="63" t="s">
        <v>884</v>
      </c>
      <c r="D92" s="64" t="str">
        <f>IFERROR(IF(VLOOKUP(C92,'Product List'!B:C,2,FALSE)=VLOOKUP(B92,'Product List'!$A$2179:$DE$2338,2,FALSE),IFERROR(VLOOKUP(C92,'Product List'!B:D,3,FALSE),""),""),"")</f>
        <v/>
      </c>
      <c r="E92" s="10"/>
      <c r="F92" s="32"/>
    </row>
    <row r="93" spans="1:6" x14ac:dyDescent="0.25">
      <c r="A93" s="3" t="str">
        <f>IF(D93="","",IFERROR(IF(#REF!=0,"",VLOOKUP(C93,'Product List'!B:E,4,FALSE)),""))</f>
        <v/>
      </c>
      <c r="B93" s="41" t="s">
        <v>22</v>
      </c>
      <c r="C93" s="42" t="s">
        <v>23</v>
      </c>
      <c r="D93" s="43" t="str">
        <f>IFERROR(IF(VLOOKUP(C93,'Product List'!B:C,2,FALSE)=VLOOKUP(B93,'Product List'!$A$2179:$DE$2338,2,FALSE),IFERROR(VLOOKUP(C93,'Product List'!B:D,3,FALSE),""),""),"")</f>
        <v>DISC 100A 2P 240V 3R FUSE</v>
      </c>
      <c r="E93" s="10"/>
      <c r="F93" s="43"/>
    </row>
    <row r="94" spans="1:6" x14ac:dyDescent="0.25">
      <c r="A94" s="3" t="str">
        <f>IF(D94="","",IFERROR(IF(E93=0,"",VLOOKUP(C94,'Product List'!B:E,4,FALSE)),""))</f>
        <v/>
      </c>
      <c r="B94" s="62" t="s">
        <v>22</v>
      </c>
      <c r="C94" s="63" t="s">
        <v>21</v>
      </c>
      <c r="D94" s="64" t="str">
        <f>IFERROR(IF(VLOOKUP(C94,'Product List'!B:C,2,FALSE)=VLOOKUP(B94,'Product List'!$A$2179:$DE$2338,2,FALSE),IFERROR(VLOOKUP(C94,'Product List'!B:D,3,FALSE),""),""),"")</f>
        <v>DISC 60A 2P 240V 3R FUSE</v>
      </c>
      <c r="F94" s="32"/>
    </row>
    <row r="95" spans="1:6" x14ac:dyDescent="0.25">
      <c r="A95" s="3" t="str">
        <f>IF(D95="","",IFERROR(IF(E95=0,"",VLOOKUP(C95,'Product List'!B:E,4,FALSE)),""))</f>
        <v/>
      </c>
      <c r="B95" s="41" t="s">
        <v>22</v>
      </c>
      <c r="C95" s="42" t="s">
        <v>172</v>
      </c>
      <c r="D95" s="43" t="str">
        <f>IFERROR(IF(VLOOKUP(C95,'Product List'!B:C,2,FALSE)=VLOOKUP(B95,'Product List'!$A$2179:$DE$2338,2,FALSE),IFERROR(VLOOKUP(C95,'Product List'!B:D,3,FALSE),""),""),"")</f>
        <v>DISC 30A 2P 240V 3R FUSE</v>
      </c>
      <c r="E95" s="13"/>
      <c r="F95" s="43"/>
    </row>
    <row r="96" spans="1:6" x14ac:dyDescent="0.25">
      <c r="A96" s="3" t="str">
        <f>IF(D96="","",IFERROR(IF(E96=0,"",VLOOKUP(C96,'Product List'!B:E,4,FALSE)),""))</f>
        <v/>
      </c>
      <c r="B96" s="62" t="s">
        <v>22</v>
      </c>
      <c r="C96" s="63" t="s">
        <v>174</v>
      </c>
      <c r="D96" s="64" t="str">
        <f>IFERROR(IF(VLOOKUP(C96,'Product List'!B:C,2,FALSE)=VLOOKUP(B96,'Product List'!$A$2179:$DE$2338,2,FALSE),IFERROR(VLOOKUP(C96,'Product List'!B:D,3,FALSE),""),""),"")</f>
        <v>NON-FUSE DISC 100A 2P 240V 3R</v>
      </c>
      <c r="E96" s="10"/>
      <c r="F96" s="32"/>
    </row>
    <row r="97" spans="1:6" x14ac:dyDescent="0.25">
      <c r="A97" s="3">
        <f>IF(D97="","",IFERROR(IF(E97=0,"",VLOOKUP(C97,'Product List'!B:E,4,FALSE)),""))</f>
        <v>6000000248</v>
      </c>
      <c r="B97" s="41" t="s">
        <v>22</v>
      </c>
      <c r="C97" s="42" t="s">
        <v>20</v>
      </c>
      <c r="D97" s="43" t="str">
        <f>IFERROR(IF(VLOOKUP(C97,'Product List'!B:C,2,FALSE)=VLOOKUP(B97,'Product List'!$A$2179:$DE$2338,2,FALSE),IFERROR(VLOOKUP(C97,'Product List'!B:D,3,FALSE),""),""),"")</f>
        <v>NON-FUSE DISC 60A 2P 204V 3R</v>
      </c>
      <c r="E97" s="13">
        <v>1</v>
      </c>
      <c r="F97" s="43"/>
    </row>
    <row r="98" spans="1:6" x14ac:dyDescent="0.25">
      <c r="A98" s="3" t="str">
        <f>IF(D98="","",IFERROR(IF(E98=0,"",VLOOKUP(C98,'Product List'!B:E,4,FALSE)),""))</f>
        <v/>
      </c>
      <c r="B98" s="62" t="s">
        <v>22</v>
      </c>
      <c r="C98" s="63" t="s">
        <v>173</v>
      </c>
      <c r="D98" s="64" t="str">
        <f>IFERROR(IF(VLOOKUP(C98,'Product List'!B:C,2,FALSE)=VLOOKUP(B98,'Product List'!$A$2179:$DE$2338,2,FALSE),IFERROR(VLOOKUP(C98,'Product List'!B:D,3,FALSE),""),""),"")</f>
        <v>NON-FUSE DISC 30A 2P 240V 3R</v>
      </c>
      <c r="E98" s="10"/>
      <c r="F98" s="32"/>
    </row>
    <row r="99" spans="1:6" x14ac:dyDescent="0.25">
      <c r="A99" s="3"/>
      <c r="B99" s="62" t="s">
        <v>22</v>
      </c>
      <c r="C99" s="63" t="s">
        <v>151</v>
      </c>
      <c r="D99" s="64" t="s">
        <v>2905</v>
      </c>
      <c r="E99" s="10"/>
      <c r="F99" s="32"/>
    </row>
    <row r="100" spans="1:6" x14ac:dyDescent="0.25">
      <c r="A100" s="3" t="str">
        <f>IF(D100="","",IFERROR(IF(E100=0,"",VLOOKUP(C100,'Product List'!B:E,4,FALSE)),""))</f>
        <v/>
      </c>
      <c r="B100" s="41" t="s">
        <v>41</v>
      </c>
      <c r="C100" s="42" t="s">
        <v>1132</v>
      </c>
      <c r="D100" s="43" t="s">
        <v>2909</v>
      </c>
      <c r="E100" s="13"/>
      <c r="F100" s="43"/>
    </row>
    <row r="101" spans="1:6" x14ac:dyDescent="0.25">
      <c r="A101" s="3">
        <f>IF(D101="","",IFERROR(IF(E101=0,"",VLOOKUP(C101,'Product List'!B:E,4,FALSE)),""))</f>
        <v>6000000737</v>
      </c>
      <c r="B101" s="62" t="s">
        <v>51</v>
      </c>
      <c r="C101" s="63">
        <v>11500</v>
      </c>
      <c r="D101" s="64" t="str">
        <f>IFERROR(IF(VLOOKUP(C101,'Product List'!B:C,2,FALSE)=VLOOKUP(B101,'Product List'!$A$2179:$DE$2338,2,FALSE),IFERROR(VLOOKUP(C101,'Product List'!B:D,3,FALSE),""),""),"")</f>
        <v>11.1IN BLK CABLE TIE (100/BG)</v>
      </c>
      <c r="E101" s="10">
        <v>1</v>
      </c>
      <c r="F101" s="32"/>
    </row>
    <row r="102" spans="1:6" x14ac:dyDescent="0.25">
      <c r="A102" s="3" t="str">
        <f>IF(D102="","",IFERROR(IF(E102=0,"",VLOOKUP(C102,'Product List'!B:E,4,FALSE)),""))</f>
        <v/>
      </c>
      <c r="B102" s="41"/>
      <c r="C102" s="42" t="s">
        <v>885</v>
      </c>
      <c r="D102" s="43" t="str">
        <f>IFERROR(IF(VLOOKUP(C102,'Product List'!B:C,2,FALSE)=VLOOKUP(B102,'Product List'!$A$2179:$DE$2338,2,FALSE),IFERROR(VLOOKUP(C102,'Product List'!B:D,3,FALSE),""),""),"")</f>
        <v/>
      </c>
      <c r="E102" s="13"/>
      <c r="F102" s="43"/>
    </row>
    <row r="103" spans="1:6" x14ac:dyDescent="0.25">
      <c r="A103" s="3" t="str">
        <f>IF(D103="","",IFERROR(IF(E103=0,"",VLOOKUP(C103,'Product List'!B:E,4,FALSE)),""))</f>
        <v/>
      </c>
      <c r="B103" s="41" t="s">
        <v>365</v>
      </c>
      <c r="C103" s="42" t="s">
        <v>366</v>
      </c>
      <c r="D103" s="43" t="str">
        <f>IFERROR(IF(VLOOKUP(C103,'Product List'!B:C,2,FALSE)=VLOOKUP(B103,'Product List'!$A$2179:$DE$2338,2,FALSE),IFERROR(VLOOKUP(C103,'Product List'!B:D,3,FALSE),""),""),"")</f>
        <v>1-PVC-SCH-40-COND</v>
      </c>
      <c r="E103" s="10"/>
      <c r="F103" s="32"/>
    </row>
    <row r="104" spans="1:6" x14ac:dyDescent="0.25">
      <c r="A104" s="3" t="str">
        <f>IF(D104="","",IFERROR(IF(E104=0,"",VLOOKUP(C104,'Product List'!B:E,4,FALSE)),""))</f>
        <v/>
      </c>
      <c r="B104" s="41" t="s">
        <v>365</v>
      </c>
      <c r="C104" s="42" t="s">
        <v>392</v>
      </c>
      <c r="D104" s="43" t="str">
        <f>IFERROR(IF(VLOOKUP(C104,'Product List'!B:C,2,FALSE)=VLOOKUP(B104,'Product List'!$A$2179:$DE$2338,2,FALSE),IFERROR(VLOOKUP(C104,'Product List'!B:D,3,FALSE),""),""),"")</f>
        <v>1-PVC-TERM-ADPT</v>
      </c>
      <c r="E104" s="13"/>
      <c r="F104" s="43"/>
    </row>
    <row r="105" spans="1:6" x14ac:dyDescent="0.25">
      <c r="A105" s="3" t="str">
        <f>IF(D105="","",IFERROR(IF(E105=0,"",VLOOKUP(C105,'Product List'!B:E,4,FALSE)),""))</f>
        <v/>
      </c>
      <c r="B105" s="41" t="s">
        <v>1030</v>
      </c>
      <c r="C105" s="42">
        <v>283</v>
      </c>
      <c r="D105" s="43" t="str">
        <f>IFERROR(IF(VLOOKUP(C105,'Product List'!B:C,2,FALSE)=VLOOKUP(B105,'Product List'!$A$2179:$DE$2338,2,FALSE),IFERROR(VLOOKUP(C105,'Product List'!B:D,3,FALSE),""),""),"")</f>
        <v>1IN STL RGD LOCKNUT 100/1000PK</v>
      </c>
      <c r="E105" s="10"/>
      <c r="F105" s="32"/>
    </row>
    <row r="106" spans="1:6" x14ac:dyDescent="0.25">
      <c r="A106" s="3" t="str">
        <f>IF(D106="","",IFERROR(IF(E106=0,"",VLOOKUP(C106,'Product List'!B:E,4,FALSE)),""))</f>
        <v/>
      </c>
      <c r="B106" s="41" t="s">
        <v>1030</v>
      </c>
      <c r="C106" s="42">
        <v>833</v>
      </c>
      <c r="D106" s="43" t="str">
        <f>IFERROR(IF(VLOOKUP(C106,'Product List'!B:C,2,FALSE)=VLOOKUP(B106,'Product List'!$A$2179:$DE$2338,2,FALSE),IFERROR(VLOOKUP(C106,'Product List'!B:D,3,FALSE),""),""),"")</f>
        <v>1IN INSL PLS BSHG</v>
      </c>
      <c r="E106" s="13"/>
      <c r="F106" s="43"/>
    </row>
    <row r="107" spans="1:6" x14ac:dyDescent="0.25">
      <c r="A107" s="3" t="str">
        <f>IF(D107="","",IFERROR(IF(E107=0,"",VLOOKUP(C107,'Product List'!B:E,4,FALSE)),""))</f>
        <v/>
      </c>
      <c r="B107" s="41" t="s">
        <v>125</v>
      </c>
      <c r="C107" s="42" t="s">
        <v>1059</v>
      </c>
      <c r="D107" s="43" t="str">
        <f>IFERROR(IF(VLOOKUP(C107,'Product List'!B:C,2,FALSE)=VLOOKUP(B107,'Product List'!$A$2179:$DE$2338,2,FALSE),IFERROR(VLOOKUP(C107,'Product List'!B:D,3,FALSE),""),""),"")</f>
        <v>1" SEALING RING  W/RETAINER</v>
      </c>
      <c r="E107" s="10"/>
      <c r="F107" s="32"/>
    </row>
    <row r="108" spans="1:6" x14ac:dyDescent="0.25">
      <c r="A108" s="3" t="str">
        <f>IF(D108="","",IFERROR(IF(E108=0,"",VLOOKUP(C108,'Product List'!B:E,4,FALSE)),""))</f>
        <v/>
      </c>
      <c r="B108" s="41" t="s">
        <v>365</v>
      </c>
      <c r="C108" s="42" t="s">
        <v>1212</v>
      </c>
      <c r="D108" s="43" t="str">
        <f>IFERROR(IF(VLOOKUP(C108,'Product List'!B:C,2,FALSE)=VLOOKUP(B108,'Product List'!$A$2179:$DE$2338,2,FALSE),IFERROR(VLOOKUP(C108,'Product List'!B:D,3,FALSE),""),""),"")</f>
        <v>1" JUNCTION BOX ADAPTERS</v>
      </c>
      <c r="E108" s="13"/>
      <c r="F108" s="43"/>
    </row>
    <row r="109" spans="1:6" x14ac:dyDescent="0.25">
      <c r="A109" s="3" t="str">
        <f>IF(D109="","",IFERROR(IF(E109=0,"",VLOOKUP(C109,'Product List'!B:E,4,FALSE)),""))</f>
        <v/>
      </c>
      <c r="B109" s="41" t="s">
        <v>365</v>
      </c>
      <c r="C109" s="42" t="s">
        <v>370</v>
      </c>
      <c r="D109" s="43" t="str">
        <f>IFERROR(IF(VLOOKUP(C109,'Product List'!B:C,2,FALSE)=VLOOKUP(B109,'Product List'!$A$2179:$DE$2338,2,FALSE),IFERROR(VLOOKUP(C109,'Product List'!B:D,3,FALSE),""),""),"")</f>
        <v>1-PVC-COUPLING</v>
      </c>
      <c r="E109" s="10"/>
      <c r="F109" s="32"/>
    </row>
    <row r="110" spans="1:6" x14ac:dyDescent="0.25">
      <c r="A110" s="3" t="str">
        <f>IF(D110="","",IFERROR(IF(E110=0,"",VLOOKUP(C110,'Product List'!B:E,4,FALSE)),""))</f>
        <v/>
      </c>
      <c r="B110" s="41" t="s">
        <v>365</v>
      </c>
      <c r="C110" s="42" t="s">
        <v>377</v>
      </c>
      <c r="D110" s="43" t="str">
        <f>IFERROR(IF(VLOOKUP(C110,'Product List'!B:C,2,FALSE)=VLOOKUP(B110,'Product List'!$A$2179:$DE$2338,2,FALSE),IFERROR(VLOOKUP(C110,'Product List'!B:D,3,FALSE),""),""),"")</f>
        <v>1-PVC-FEMALE-APDT</v>
      </c>
      <c r="E110" s="13"/>
      <c r="F110" s="43"/>
    </row>
    <row r="111" spans="1:6" x14ac:dyDescent="0.25">
      <c r="A111" s="3" t="str">
        <f>IF(D111="","",IFERROR(IF(E111=0,"",VLOOKUP(C111,'Product List'!B:E,4,FALSE)),""))</f>
        <v/>
      </c>
      <c r="B111" s="41" t="s">
        <v>365</v>
      </c>
      <c r="C111" s="42" t="s">
        <v>390</v>
      </c>
      <c r="D111" s="43" t="str">
        <f>IFERROR(IF(VLOOKUP(C111,'Product List'!B:C,2,FALSE)=VLOOKUP(B111,'Product List'!$A$2179:$DE$2338,2,FALSE),IFERROR(VLOOKUP(C111,'Product List'!B:D,3,FALSE),""),""),"")</f>
        <v>1-PVC-LR-COND BODY</v>
      </c>
      <c r="E111" s="10"/>
      <c r="F111" s="32"/>
    </row>
    <row r="112" spans="1:6" x14ac:dyDescent="0.25">
      <c r="A112" s="3" t="str">
        <f>IF(D112="","",IFERROR(IF(E112=0,"",VLOOKUP(C112,'Product List'!B:E,4,FALSE)),""))</f>
        <v/>
      </c>
      <c r="B112" s="41" t="s">
        <v>365</v>
      </c>
      <c r="C112" s="42" t="s">
        <v>386</v>
      </c>
      <c r="D112" s="43" t="str">
        <f>IFERROR(IF(VLOOKUP(C112,'Product List'!B:C,2,FALSE)=VLOOKUP(B112,'Product List'!$A$2179:$DE$2338,2,FALSE),IFERROR(VLOOKUP(C112,'Product List'!B:D,3,FALSE),""),""),"")</f>
        <v>1-PVC-LB-COND BODY</v>
      </c>
      <c r="E112" s="13"/>
      <c r="F112" s="43"/>
    </row>
    <row r="113" spans="1:6" x14ac:dyDescent="0.25">
      <c r="A113" s="3" t="str">
        <f>IF(D113="","",IFERROR(IF(E113=0,"",VLOOKUP(C113,'Product List'!B:E,4,FALSE)),""))</f>
        <v/>
      </c>
      <c r="B113" s="41" t="s">
        <v>365</v>
      </c>
      <c r="C113" s="42" t="s">
        <v>388</v>
      </c>
      <c r="D113" s="43" t="str">
        <f>IFERROR(IF(VLOOKUP(C113,'Product List'!B:C,2,FALSE)=VLOOKUP(B113,'Product List'!$A$2179:$DE$2338,2,FALSE),IFERROR(VLOOKUP(C113,'Product List'!B:D,3,FALSE),""),""),"")</f>
        <v>1-PVC-LL-COND BODY</v>
      </c>
      <c r="E113" s="10"/>
      <c r="F113" s="32"/>
    </row>
    <row r="114" spans="1:6" x14ac:dyDescent="0.25">
      <c r="A114" s="3" t="str">
        <f>IF(D114="","",IFERROR(IF(E114=0,"",VLOOKUP(C114,'Product List'!B:E,4,FALSE)),""))</f>
        <v/>
      </c>
      <c r="B114" s="41" t="s">
        <v>365</v>
      </c>
      <c r="C114" s="42" t="s">
        <v>372</v>
      </c>
      <c r="D114" s="43" t="str">
        <f>IFERROR(IF(VLOOKUP(C114,'Product List'!B:C,2,FALSE)=VLOOKUP(B114,'Product List'!$A$2179:$DE$2338,2,FALSE),IFERROR(VLOOKUP(C114,'Product List'!B:D,3,FALSE),""),""),"")</f>
        <v>1-PVC-SCH-40-90D-ELBOW</v>
      </c>
      <c r="E114" s="10"/>
      <c r="F114" s="32"/>
    </row>
    <row r="115" spans="1:6" x14ac:dyDescent="0.25">
      <c r="A115" s="3" t="str">
        <f>IF(D115="","",IFERROR(IF(E115=0,"",VLOOKUP(C115,'Product List'!B:E,4,FALSE)),""))</f>
        <v/>
      </c>
      <c r="B115" s="41" t="s">
        <v>22</v>
      </c>
      <c r="C115" s="42" t="s">
        <v>666</v>
      </c>
      <c r="D115" s="43" t="str">
        <f>IFERROR(IF(VLOOKUP(C115,'Product List'!B:C,2,FALSE)=VLOOKUP(B115,'Product List'!$A$2179:$DE$2338,2,FALSE),IFERROR(VLOOKUP(C115,'Product List'!B:D,3,FALSE),""),""),"")</f>
        <v>SFTY SW HUB</v>
      </c>
      <c r="E115" s="10"/>
      <c r="F115" s="32"/>
    </row>
    <row r="116" spans="1:6" x14ac:dyDescent="0.25">
      <c r="A116" s="3" t="str">
        <f>IF(D116="","",IFERROR(IF(E116=0,"",VLOOKUP(C116,'Product List'!B:E,4,FALSE)),""))</f>
        <v/>
      </c>
      <c r="B116" s="41" t="s">
        <v>86</v>
      </c>
      <c r="C116" s="42" t="s">
        <v>116</v>
      </c>
      <c r="D116" s="43" t="str">
        <f>IFERROR(IF(VLOOKUP(C116,'Product List'!B:C,2,FALSE)=VLOOKUP(B116,'Product List'!$A$2179:$DE$2338,2,FALSE),IFERROR(VLOOKUP(C116,'Product List'!B:D,3,FALSE),""),""),"")</f>
        <v>1-IN D/C INS KO HUB</v>
      </c>
      <c r="E116" s="10"/>
      <c r="F116" s="32"/>
    </row>
    <row r="117" spans="1:6" x14ac:dyDescent="0.25">
      <c r="A117" s="3" t="str">
        <f>IF(D117="","",IFERROR(IF(E117=0,"",VLOOKUP(C117,'Product List'!B:E,4,FALSE)),""))</f>
        <v/>
      </c>
      <c r="B117" s="41"/>
      <c r="C117" s="42" t="s">
        <v>886</v>
      </c>
      <c r="D117" s="43" t="str">
        <f>IFERROR(IF(VLOOKUP(C117,'Product List'!B:C,2,FALSE)=VLOOKUP(B117,'Product List'!$A$2179:$DE$2338,2,FALSE),IFERROR(VLOOKUP(C117,'Product List'!B:D,3,FALSE),""),""),"")</f>
        <v/>
      </c>
      <c r="E117" s="13"/>
      <c r="F117" s="43"/>
    </row>
    <row r="118" spans="1:6" x14ac:dyDescent="0.25">
      <c r="A118" s="3">
        <f>IF(D118="","",IFERROR(IF(E118=0,"",VLOOKUP(C118,'Product List'!B:E,4,FALSE)),""))</f>
        <v>6000000789</v>
      </c>
      <c r="B118" s="41" t="s">
        <v>365</v>
      </c>
      <c r="C118" s="42" t="s">
        <v>1219</v>
      </c>
      <c r="D118" s="43" t="str">
        <f>IFERROR(IF(VLOOKUP(C118,'Product List'!B:C,2,FALSE)=VLOOKUP(B118,'Product List'!$A$2179:$DE$2338,2,FALSE),IFERROR(VLOOKUP(C118,'Product List'!B:D,3,FALSE),""),""),"")</f>
        <v>3/4-PVC-SCH-40-COND</v>
      </c>
      <c r="E118" s="10">
        <v>1</v>
      </c>
      <c r="F118" s="32"/>
    </row>
    <row r="119" spans="1:6" x14ac:dyDescent="0.25">
      <c r="A119" s="3" t="str">
        <f>IF(D119="","",IFERROR(IF(E119=0,"",VLOOKUP(C119,'Product List'!B:E,4,FALSE)),""))</f>
        <v/>
      </c>
      <c r="B119" s="41" t="s">
        <v>86</v>
      </c>
      <c r="C119" s="42">
        <v>341</v>
      </c>
      <c r="D119" s="43" t="str">
        <f>IFERROR(IF(VLOOKUP(C119,'Product List'!B:C,2,FALSE)=VLOOKUP(B119,'Product List'!$A$2179:$DE$2338,2,FALSE),IFERROR(VLOOKUP(C119,'Product List'!B:D,3,FALSE),""),""),"")</f>
        <v>3/4 1H STEEL COND STRAP</v>
      </c>
      <c r="E119" s="10"/>
      <c r="F119" s="32"/>
    </row>
    <row r="120" spans="1:6" x14ac:dyDescent="0.25">
      <c r="A120" s="3" t="str">
        <f>IF(D120="","",IFERROR(IF(E120=0,"",VLOOKUP(C120,'Product List'!B:E,4,FALSE)),""))</f>
        <v/>
      </c>
      <c r="B120" s="41" t="s">
        <v>86</v>
      </c>
      <c r="C120" s="42">
        <v>2010</v>
      </c>
      <c r="D120" s="43" t="str">
        <f>IFERROR(IF(VLOOKUP(C120,'Product List'!B:C,2,FALSE)=VLOOKUP(B120,'Product List'!$A$2179:$DE$2338,2,FALSE),IFERROR(VLOOKUP(C120,'Product List'!B:D,3,FALSE),""),""),"")</f>
        <v>3/4 CONDUIT HANGER W/BOLT</v>
      </c>
      <c r="E120" s="10"/>
      <c r="F120" s="32"/>
    </row>
    <row r="121" spans="1:6" x14ac:dyDescent="0.25">
      <c r="A121" s="3">
        <f>IF(D121="","",IFERROR(IF(E121=0,"",VLOOKUP(C121,'Product List'!B:E,4,FALSE)),""))</f>
        <v>6000000854</v>
      </c>
      <c r="B121" s="41" t="s">
        <v>365</v>
      </c>
      <c r="C121" s="42" t="s">
        <v>1258</v>
      </c>
      <c r="D121" s="43" t="str">
        <f>IFERROR(IF(VLOOKUP(C121,'Product List'!B:C,2,FALSE)=VLOOKUP(B121,'Product List'!$A$2179:$DE$2338,2,FALSE),IFERROR(VLOOKUP(C121,'Product List'!B:D,3,FALSE),""),""),"")</f>
        <v>3/4-PVC-TERM-ADPT</v>
      </c>
      <c r="E121" s="13">
        <v>5</v>
      </c>
      <c r="F121" s="43"/>
    </row>
    <row r="122" spans="1:6" x14ac:dyDescent="0.25">
      <c r="A122" s="3">
        <f>IF(D122="","",IFERROR(IF(E122=0,"",VLOOKUP(C122,'Product List'!B:E,4,FALSE)),""))</f>
        <v>4000001225</v>
      </c>
      <c r="B122" s="41" t="s">
        <v>1030</v>
      </c>
      <c r="C122" s="42">
        <v>282</v>
      </c>
      <c r="D122" s="43" t="str">
        <f>IFERROR(IF(VLOOKUP(C122,'Product List'!B:C,2,FALSE)=VLOOKUP(B122,'Product List'!$A$2179:$DE$2338,2,FALSE),IFERROR(VLOOKUP(C122,'Product List'!B:D,3,FALSE),""),""),"")</f>
        <v>3/4 STL RGD LOCKNUT</v>
      </c>
      <c r="E122" s="10">
        <v>5</v>
      </c>
      <c r="F122" s="32"/>
    </row>
    <row r="123" spans="1:6" x14ac:dyDescent="0.25">
      <c r="A123" s="3">
        <f>IF(D123="","",IFERROR(IF(E123=0,"",VLOOKUP(C123,'Product List'!B:E,4,FALSE)),""))</f>
        <v>4000001283</v>
      </c>
      <c r="B123" s="41" t="s">
        <v>1030</v>
      </c>
      <c r="C123" s="42" t="s">
        <v>1337</v>
      </c>
      <c r="D123" s="43" t="str">
        <f>IFERROR(IF(VLOOKUP(C123,'Product List'!B:C,2,FALSE)=VLOOKUP(B123,'Product List'!$A$2179:$DE$2338,2,FALSE),IFERROR(VLOOKUP(C123,'Product List'!B:D,3,FALSE),""),""),"")</f>
        <v>3/4 INSL PLS BSHG</v>
      </c>
      <c r="E123" s="13">
        <v>5</v>
      </c>
      <c r="F123" s="43"/>
    </row>
    <row r="124" spans="1:6" x14ac:dyDescent="0.25">
      <c r="A124" s="3">
        <f>IF(D124="","",IFERROR(IF(E124=0,"",VLOOKUP(C124,'Product List'!B:E,4,FALSE)),""))</f>
        <v>4000000118</v>
      </c>
      <c r="B124" s="41" t="s">
        <v>125</v>
      </c>
      <c r="C124" s="42" t="s">
        <v>1058</v>
      </c>
      <c r="D124" s="43" t="str">
        <f>IFERROR(IF(VLOOKUP(C124,'Product List'!B:C,2,FALSE)=VLOOKUP(B124,'Product List'!$A$2179:$DE$2338,2,FALSE),IFERROR(VLOOKUP(C124,'Product List'!B:D,3,FALSE),""),""),"")</f>
        <v>3/4" SEALING RING  W/RETAINER</v>
      </c>
      <c r="E124" s="10">
        <v>5</v>
      </c>
      <c r="F124" s="32"/>
    </row>
    <row r="125" spans="1:6" x14ac:dyDescent="0.25">
      <c r="A125" s="3" t="str">
        <f>IF(D125="","",IFERROR(IF(E125=0,"",VLOOKUP(C125,'Product List'!B:E,4,FALSE)),""))</f>
        <v/>
      </c>
      <c r="B125" s="41" t="s">
        <v>365</v>
      </c>
      <c r="C125" s="42" t="s">
        <v>1211</v>
      </c>
      <c r="D125" s="43" t="str">
        <f>IFERROR(IF(VLOOKUP(C125,'Product List'!B:C,2,FALSE)=VLOOKUP(B125,'Product List'!$A$2179:$DE$2338,2,FALSE),IFERROR(VLOOKUP(C125,'Product List'!B:D,3,FALSE),""),""),"")</f>
        <v>3/4 JUNCTION BOX ADAPTERS</v>
      </c>
      <c r="E125" s="13"/>
      <c r="F125" s="43"/>
    </row>
    <row r="126" spans="1:6" x14ac:dyDescent="0.25">
      <c r="A126" s="3" t="str">
        <f>IF(D126="","",IFERROR(IF(E126=0,"",VLOOKUP(C126,'Product List'!B:E,4,FALSE)),""))</f>
        <v/>
      </c>
      <c r="B126" s="41" t="s">
        <v>365</v>
      </c>
      <c r="C126" s="42" t="s">
        <v>1227</v>
      </c>
      <c r="D126" s="43" t="str">
        <f>IFERROR(IF(VLOOKUP(C126,'Product List'!B:C,2,FALSE)=VLOOKUP(B126,'Product List'!$A$2179:$DE$2338,2,FALSE),IFERROR(VLOOKUP(C126,'Product List'!B:D,3,FALSE),""),""),"")</f>
        <v>3/4-PVC-COUPLING</v>
      </c>
      <c r="E126" s="10"/>
      <c r="F126" s="32"/>
    </row>
    <row r="127" spans="1:6" x14ac:dyDescent="0.25">
      <c r="A127" s="3">
        <f>IF(D127="","",IFERROR(IF(E127=0,"",VLOOKUP(C127,'Product List'!B:E,4,FALSE)),""))</f>
        <v>6000000824</v>
      </c>
      <c r="B127" s="41" t="s">
        <v>365</v>
      </c>
      <c r="C127" s="42" t="s">
        <v>1243</v>
      </c>
      <c r="D127" s="43" t="str">
        <f>IFERROR(IF(VLOOKUP(C127,'Product List'!B:C,2,FALSE)=VLOOKUP(B127,'Product List'!$A$2179:$DE$2338,2,FALSE),IFERROR(VLOOKUP(C127,'Product List'!B:D,3,FALSE),""),""),"")</f>
        <v>3/4-PVC-FEMALE-ADPT</v>
      </c>
      <c r="E127" s="13">
        <v>1</v>
      </c>
      <c r="F127" s="43"/>
    </row>
    <row r="128" spans="1:6" x14ac:dyDescent="0.25">
      <c r="A128" s="3" t="str">
        <f>IF(D128="","",IFERROR(IF(E128=0,"",VLOOKUP(C128,'Product List'!B:E,4,FALSE)),""))</f>
        <v/>
      </c>
      <c r="B128" s="41" t="s">
        <v>365</v>
      </c>
      <c r="C128" s="42" t="s">
        <v>1252</v>
      </c>
      <c r="D128" s="43" t="str">
        <f>IFERROR(IF(VLOOKUP(C128,'Product List'!B:C,2,FALSE)=VLOOKUP(B128,'Product List'!$A$2179:$DE$2338,2,FALSE),IFERROR(VLOOKUP(C128,'Product List'!B:D,3,FALSE),""),""),"")</f>
        <v>3/4-PVC-LR-COND BODY</v>
      </c>
      <c r="E128" s="10"/>
      <c r="F128" s="32"/>
    </row>
    <row r="129" spans="1:7" x14ac:dyDescent="0.25">
      <c r="A129" s="3" t="str">
        <f>IF(D129="","",IFERROR(IF(E129=0,"",VLOOKUP(C129,'Product List'!B:E,4,FALSE)),""))</f>
        <v/>
      </c>
      <c r="B129" s="41" t="s">
        <v>365</v>
      </c>
      <c r="C129" s="42" t="s">
        <v>1247</v>
      </c>
      <c r="D129" s="43" t="str">
        <f>IFERROR(IF(VLOOKUP(C129,'Product List'!B:C,2,FALSE)=VLOOKUP(B129,'Product List'!$A$2179:$DE$2338,2,FALSE),IFERROR(VLOOKUP(C129,'Product List'!B:D,3,FALSE),""),""),"")</f>
        <v>3/4-PVC-LB-COND BODY</v>
      </c>
      <c r="E129" s="13"/>
      <c r="F129" s="43"/>
    </row>
    <row r="130" spans="1:7" x14ac:dyDescent="0.25">
      <c r="A130" s="3">
        <f>IF(D130="","",IFERROR(IF(E130=0,"",VLOOKUP(C130,'Product List'!B:E,4,FALSE)),""))</f>
        <v>6000000842</v>
      </c>
      <c r="B130" s="41" t="s">
        <v>365</v>
      </c>
      <c r="C130" s="42" t="s">
        <v>1250</v>
      </c>
      <c r="D130" s="43" t="str">
        <f>IFERROR(IF(VLOOKUP(C130,'Product List'!B:C,2,FALSE)=VLOOKUP(B130,'Product List'!$A$2179:$DE$2338,2,FALSE),IFERROR(VLOOKUP(C130,'Product List'!B:D,3,FALSE),""),""),"")</f>
        <v>3/4-PVC-LL-COND BODY</v>
      </c>
      <c r="E130" s="10">
        <v>1</v>
      </c>
      <c r="F130" s="32"/>
    </row>
    <row r="131" spans="1:7" x14ac:dyDescent="0.25">
      <c r="A131" s="3">
        <f>IF(D131="","",IFERROR(IF(E131=0,"",VLOOKUP(C131,'Product List'!B:E,4,FALSE)),""))</f>
        <v>6000000806</v>
      </c>
      <c r="B131" s="41" t="s">
        <v>365</v>
      </c>
      <c r="C131" s="42" t="s">
        <v>1230</v>
      </c>
      <c r="D131" s="43" t="str">
        <f>IFERROR(IF(VLOOKUP(C131,'Product List'!B:C,2,FALSE)=VLOOKUP(B131,'Product List'!$A$2179:$DE$2338,2,FALSE),IFERROR(VLOOKUP(C131,'Product List'!B:D,3,FALSE),""),""),"")</f>
        <v>3/4-PVC-SCH-40-90D-ELBOW</v>
      </c>
      <c r="E131" s="10">
        <v>1</v>
      </c>
      <c r="F131" s="32"/>
    </row>
    <row r="132" spans="1:7" x14ac:dyDescent="0.25">
      <c r="A132" s="3" t="str">
        <f>IF(D132="","",IFERROR(IF(E132=0,"",VLOOKUP(C132,'Product List'!B:E,4,FALSE)),""))</f>
        <v/>
      </c>
      <c r="B132" s="41" t="s">
        <v>22</v>
      </c>
      <c r="C132" s="42" t="s">
        <v>176</v>
      </c>
      <c r="D132" s="43" t="str">
        <f>IFERROR(IF(VLOOKUP(C132,'Product List'!B:C,2,FALSE)=VLOOKUP(B132,'Product List'!$A$2179:$DE$2338,2,FALSE),IFERROR(VLOOKUP(C132,'Product List'!B:D,3,FALSE),""),""),"")</f>
        <v>SFTY SW HUB</v>
      </c>
      <c r="E132" s="10"/>
      <c r="F132" s="32"/>
    </row>
    <row r="133" spans="1:7" x14ac:dyDescent="0.25">
      <c r="A133" s="3" t="str">
        <f>IF(D133="","",IFERROR(IF(E133=0,"",VLOOKUP(C133,'Product List'!B:E,4,FALSE)),""))</f>
        <v/>
      </c>
      <c r="B133" s="41" t="s">
        <v>86</v>
      </c>
      <c r="C133" s="42" t="s">
        <v>115</v>
      </c>
      <c r="D133" s="43" t="str">
        <f>IFERROR(IF(VLOOKUP(C133,'Product List'!B:C,2,FALSE)=VLOOKUP(B133,'Product List'!$A$2179:$DE$2338,2,FALSE),IFERROR(VLOOKUP(C133,'Product List'!B:D,3,FALSE),""),""),"")</f>
        <v>3/4 D/C INS KO HUB</v>
      </c>
      <c r="E133" s="10"/>
      <c r="F133" s="32"/>
    </row>
    <row r="134" spans="1:7" x14ac:dyDescent="0.25">
      <c r="A134" s="3" t="str">
        <f>IF(D134="","",IFERROR(IF(E134=0,"",VLOOKUP(C134,'Product List'!B:E,4,FALSE)),""))</f>
        <v/>
      </c>
      <c r="B134" s="41"/>
      <c r="C134" s="42" t="s">
        <v>887</v>
      </c>
      <c r="D134" s="43" t="str">
        <f>IFERROR(IF(VLOOKUP(C134,'Product List'!B:C,2,FALSE)=VLOOKUP(B134,'Product List'!$A$2179:$DE$2338,2,FALSE),IFERROR(VLOOKUP(C134,'Product List'!B:D,3,FALSE),""),""),"")</f>
        <v/>
      </c>
      <c r="E134" s="13"/>
      <c r="F134" s="43"/>
    </row>
    <row r="135" spans="1:7" x14ac:dyDescent="0.25">
      <c r="A135" s="3" t="str">
        <f>IF(D135="","",IFERROR(IF(E135=0,"",VLOOKUP(C135,'Product List'!B:E,4,FALSE)),""))</f>
        <v/>
      </c>
      <c r="B135" s="41" t="s">
        <v>136</v>
      </c>
      <c r="C135" s="42" t="s">
        <v>137</v>
      </c>
      <c r="D135" s="43" t="str">
        <f>IFERROR(IF(VLOOKUP(C135,'Product List'!B:C,2,FALSE)=VLOOKUP(B135,'Product List'!$A$2179:$DE$2338,2,FALSE),IFERROR(VLOOKUP(C135,'Product List'!B:D,3,FALSE),""),""),"")</f>
        <v>1" EMT THINWALL</v>
      </c>
      <c r="E135" s="10"/>
      <c r="F135" s="32"/>
    </row>
    <row r="136" spans="1:7" x14ac:dyDescent="0.25">
      <c r="A136" s="3" t="str">
        <f>IF(D136="","",IFERROR(IF(E136=0,"",VLOOKUP(C136,'Product List'!B:E,4,FALSE)),""))</f>
        <v/>
      </c>
      <c r="B136" s="41" t="s">
        <v>125</v>
      </c>
      <c r="C136" s="42" t="s">
        <v>1054</v>
      </c>
      <c r="D136" s="43" t="str">
        <f>IFERROR(IF(VLOOKUP(C136,'Product List'!B:C,2,FALSE)=VLOOKUP(B136,'Product List'!$A$2179:$DE$2338,2,FALSE),IFERROR(VLOOKUP(C136,'Product List'!B:D,3,FALSE),""),""),"")</f>
        <v>1" EMT PIPE STRAP STEEL</v>
      </c>
      <c r="E136" s="10"/>
      <c r="F136" s="32"/>
    </row>
    <row r="137" spans="1:7" x14ac:dyDescent="0.25">
      <c r="A137" s="3" t="str">
        <f>IF(D137="","",IFERROR(IF(E137=0,"",VLOOKUP(C137,'Product List'!B:E,4,FALSE)),""))</f>
        <v/>
      </c>
      <c r="B137" s="41" t="s">
        <v>86</v>
      </c>
      <c r="C137" s="42">
        <v>2020</v>
      </c>
      <c r="D137" s="43" t="str">
        <f>IFERROR(IF(VLOOKUP(C137,'Product List'!B:C,2,FALSE)=VLOOKUP(B137,'Product List'!$A$2179:$DE$2338,2,FALSE),IFERROR(VLOOKUP(C137,'Product List'!B:D,3,FALSE),""),""),"")</f>
        <v>1-IN COND HANGER W/BOLT</v>
      </c>
      <c r="E137" s="10"/>
      <c r="F137" s="32"/>
    </row>
    <row r="138" spans="1:7" x14ac:dyDescent="0.25">
      <c r="A138" s="3" t="str">
        <f>IF(D138="","",IFERROR(IF(E138=0,"",VLOOKUP(C138,'Product List'!B:E,4,FALSE)),""))</f>
        <v/>
      </c>
      <c r="B138" s="41" t="s">
        <v>1030</v>
      </c>
      <c r="C138" s="42" t="s">
        <v>1330</v>
      </c>
      <c r="D138" s="43" t="str">
        <f>IFERROR(IF(VLOOKUP(C138,'Product List'!B:C,2,FALSE)=VLOOKUP(B138,'Product List'!$A$2179:$DE$2338,2,FALSE),IFERROR(VLOOKUP(C138,'Product List'!B:D,3,FALSE),""),""),"")</f>
        <v>1IN STL CMPRN EMT CONN</v>
      </c>
      <c r="E138" s="13"/>
      <c r="F138" s="43"/>
    </row>
    <row r="139" spans="1:7" x14ac:dyDescent="0.25">
      <c r="A139" s="3" t="str">
        <f>IF(D139="","",IFERROR(IF(E139=0,"",VLOOKUP(C139,'Product List'!B:E,4,FALSE)),""))</f>
        <v/>
      </c>
      <c r="B139" s="41" t="s">
        <v>1030</v>
      </c>
      <c r="C139" s="42" t="s">
        <v>1334</v>
      </c>
      <c r="D139" s="43" t="str">
        <f>IFERROR(IF(VLOOKUP(C139,'Product List'!B:C,2,FALSE)=VLOOKUP(B139,'Product List'!$A$2179:$DE$2338,2,FALSE),IFERROR(VLOOKUP(C139,'Product List'!B:D,3,FALSE),""),""),"")</f>
        <v>1IN COMPRN R/T EMT CPLG 10/100-PK</v>
      </c>
      <c r="E139" s="13"/>
      <c r="F139" s="43"/>
    </row>
    <row r="140" spans="1:7" x14ac:dyDescent="0.25">
      <c r="A140" s="3" t="str">
        <f>IF(D140="","",IFERROR(IF(E140=0,"",VLOOKUP(C140,'Product List'!B:E,4,FALSE)),""))</f>
        <v/>
      </c>
      <c r="B140" s="41" t="s">
        <v>125</v>
      </c>
      <c r="C140" s="42" t="s">
        <v>1041</v>
      </c>
      <c r="D140" s="43" t="str">
        <f>IFERROR(IF(VLOOKUP(C140,'Product List'!B:C,2,FALSE)=VLOOKUP(B140,'Product List'!$A$2179:$DE$2338,2,FALSE),IFERROR(VLOOKUP(C140,'Product List'!B:D,3,FALSE),""),""),"")</f>
        <v>1" GROUNDING LOCKNUT</v>
      </c>
      <c r="E140" s="13"/>
      <c r="F140" s="43"/>
    </row>
    <row r="141" spans="1:7" x14ac:dyDescent="0.25">
      <c r="A141" s="3" t="str">
        <f>IF(D141="","",IFERROR(IF(E141=0,"",VLOOKUP(C141,'Product List'!B:E,4,FALSE)),""))</f>
        <v/>
      </c>
      <c r="B141" s="41" t="s">
        <v>125</v>
      </c>
      <c r="C141" s="42" t="s">
        <v>1047</v>
      </c>
      <c r="D141" s="43" t="str">
        <f>IFERROR(IF(VLOOKUP(C141,'Product List'!B:C,2,FALSE)=VLOOKUP(B141,'Product List'!$A$2179:$DE$2338,2,FALSE),IFERROR(VLOOKUP(C141,'Product List'!B:D,3,FALSE),""),""),"")</f>
        <v>1"GRND.BUSH.INS.14-4 ZINC 25/250P</v>
      </c>
      <c r="E141" s="13"/>
      <c r="F141" s="43"/>
    </row>
    <row r="142" spans="1:7" x14ac:dyDescent="0.25">
      <c r="A142" s="3" t="str">
        <f>IF(D142="","",IFERROR(IF(E142=0,"",VLOOKUP(C142,'Product List'!B:E,4,FALSE)),""))</f>
        <v/>
      </c>
      <c r="B142" s="41" t="s">
        <v>1030</v>
      </c>
      <c r="C142" s="42">
        <v>6453</v>
      </c>
      <c r="D142" s="43" t="str">
        <f>IFERROR(IF(VLOOKUP(C142,'Product List'!B:C,2,FALSE)=VLOOKUP(B142,'Product List'!$A$2179:$DE$2338,2,FALSE),IFERROR(VLOOKUP(C142,'Product List'!B:D,3,FALSE),""),""),"")</f>
        <v>1XCL GALV NIPPLE</v>
      </c>
      <c r="E142" s="13"/>
      <c r="F142" s="43"/>
    </row>
    <row r="143" spans="1:7" x14ac:dyDescent="0.25">
      <c r="A143" s="3" t="str">
        <f>IF(D143="","",IFERROR(IF(E143=0,"",VLOOKUP(C143,'Product List'!B:E,4,FALSE)),""))</f>
        <v/>
      </c>
      <c r="B143" s="41" t="s">
        <v>1030</v>
      </c>
      <c r="C143" s="42" t="s">
        <v>559</v>
      </c>
      <c r="D143" s="43" t="str">
        <f>IFERROR(IF(VLOOKUP(C143,'Product List'!B:C,2,FALSE)=VLOOKUP(B143,'Product List'!$A$2179:$DE$2338,2,FALSE),IFERROR(VLOOKUP(C143,'Product List'!B:D,3,FALSE),""),""),"")</f>
        <v>1IN AL RGD LB COND BODY 5/25-PK</v>
      </c>
      <c r="E143" s="13"/>
      <c r="F143" s="43"/>
    </row>
    <row r="144" spans="1:7" x14ac:dyDescent="0.25">
      <c r="A144" s="3" t="str">
        <f>IF(D144="","",IFERROR(IF(E144=0,"",VLOOKUP(C144,'Product List'!B:E,4,FALSE)),""))</f>
        <v/>
      </c>
      <c r="B144" s="41" t="s">
        <v>1030</v>
      </c>
      <c r="C144" s="42" t="s">
        <v>562</v>
      </c>
      <c r="D144" s="43" t="str">
        <f>IFERROR(IF(VLOOKUP(C144,'Product List'!B:C,2,FALSE)=VLOOKUP(B144,'Product List'!$A$2179:$DE$2338,2,FALSE),IFERROR(VLOOKUP(C144,'Product List'!B:D,3,FALSE),""),""),"")</f>
        <v>1IN AL RGD LL COND BODY 5/25-PK</v>
      </c>
      <c r="E144" s="13"/>
      <c r="F144" s="43"/>
      <c r="G144" s="66"/>
    </row>
    <row r="145" spans="1:6" x14ac:dyDescent="0.25">
      <c r="A145" s="3" t="str">
        <f>IF(D145="","",IFERROR(IF(E145=0,"",VLOOKUP(C145,'Product List'!B:E,4,FALSE)),""))</f>
        <v/>
      </c>
      <c r="B145" s="41" t="s">
        <v>1030</v>
      </c>
      <c r="C145" s="42" t="s">
        <v>564</v>
      </c>
      <c r="D145" s="43" t="str">
        <f>IFERROR(IF(VLOOKUP(C145,'Product List'!B:C,2,FALSE)=VLOOKUP(B145,'Product List'!$A$2179:$DE$2338,2,FALSE),IFERROR(VLOOKUP(C145,'Product List'!B:D,3,FALSE),""),""),"")</f>
        <v>1IN AL RGD LR COND BODY 5/25-PK</v>
      </c>
      <c r="E145" s="13"/>
      <c r="F145" s="43"/>
    </row>
    <row r="146" spans="1:6" x14ac:dyDescent="0.25">
      <c r="A146" s="3" t="str">
        <f>IF(D146="","",IFERROR(IF(E146=0,"",VLOOKUP(C146,'Product List'!B:E,4,FALSE)),""))</f>
        <v/>
      </c>
      <c r="B146" s="41"/>
      <c r="C146" s="42" t="s">
        <v>2897</v>
      </c>
      <c r="D146" s="43" t="str">
        <f>IFERROR(IF(VLOOKUP(C146,'Product List'!B:C,2,FALSE)=VLOOKUP(B146,'Product List'!$A$2179:$DE$2338,2,FALSE),IFERROR(VLOOKUP(C146,'Product List'!B:D,3,FALSE),""),""),"")</f>
        <v/>
      </c>
      <c r="E146" s="13"/>
      <c r="F146" s="43"/>
    </row>
    <row r="147" spans="1:6" x14ac:dyDescent="0.25">
      <c r="A147" s="3" t="str">
        <f>IF(D147="","",IFERROR(IF(E147=0,"",VLOOKUP(C147,'Product List'!B:E,4,FALSE)),""))</f>
        <v/>
      </c>
      <c r="B147" s="41" t="s">
        <v>136</v>
      </c>
      <c r="C147" s="42" t="s">
        <v>1071</v>
      </c>
      <c r="D147" s="43" t="str">
        <f>IFERROR(IF(VLOOKUP(C147,'Product List'!B:C,2,FALSE)=VLOOKUP(B147,'Product List'!$A$2179:$DE$2338,2,FALSE),IFERROR(VLOOKUP(C147,'Product List'!B:D,3,FALSE),""),""),"")</f>
        <v>3/4" EMT THINWALL</v>
      </c>
      <c r="E147" s="13"/>
      <c r="F147" s="43"/>
    </row>
    <row r="148" spans="1:6" x14ac:dyDescent="0.25">
      <c r="A148" s="3" t="str">
        <f>IF(D148="","",IFERROR(IF(E148=0,"",VLOOKUP(C148,'Product List'!B:E,4,FALSE)),""))</f>
        <v/>
      </c>
      <c r="B148" s="41" t="s">
        <v>125</v>
      </c>
      <c r="C148" s="42" t="s">
        <v>1053</v>
      </c>
      <c r="D148" s="43" t="str">
        <f>IFERROR(IF(VLOOKUP(C148,'Product List'!B:C,2,FALSE)=VLOOKUP(B148,'Product List'!$A$2179:$DE$2338,2,FALSE),IFERROR(VLOOKUP(C148,'Product List'!B:D,3,FALSE),""),""),"")</f>
        <v>3/4" EMT PIPE STRAP STEEL</v>
      </c>
      <c r="E148" s="13"/>
      <c r="F148" s="43"/>
    </row>
    <row r="149" spans="1:6" x14ac:dyDescent="0.25">
      <c r="A149" s="3" t="str">
        <f>IF(D149="","",IFERROR(IF(E149=0,"",VLOOKUP(C149,'Product List'!B:E,4,FALSE)),""))</f>
        <v/>
      </c>
      <c r="B149" s="41" t="s">
        <v>86</v>
      </c>
      <c r="C149" s="42">
        <v>2010</v>
      </c>
      <c r="D149" s="43" t="str">
        <f>IFERROR(IF(VLOOKUP(C149,'Product List'!B:C,2,FALSE)=VLOOKUP(B149,'Product List'!$A$2179:$DE$2338,2,FALSE),IFERROR(VLOOKUP(C149,'Product List'!B:D,3,FALSE),""),""),"")</f>
        <v>3/4 CONDUIT HANGER W/BOLT</v>
      </c>
      <c r="E149" s="13"/>
      <c r="F149" s="43"/>
    </row>
    <row r="150" spans="1:6" x14ac:dyDescent="0.25">
      <c r="A150" s="3" t="str">
        <f>IF(D150="","",IFERROR(IF(E150=0,"",VLOOKUP(C150,'Product List'!B:E,4,FALSE)),""))</f>
        <v/>
      </c>
      <c r="B150" s="41" t="s">
        <v>1030</v>
      </c>
      <c r="C150" s="42" t="s">
        <v>1329</v>
      </c>
      <c r="D150" s="43" t="str">
        <f>IFERROR(IF(VLOOKUP(C150,'Product List'!B:C,2,FALSE)=VLOOKUP(B150,'Product List'!$A$2179:$DE$2338,2,FALSE),IFERROR(VLOOKUP(C150,'Product List'!B:D,3,FALSE),""),""),"")</f>
        <v>3/4 COMPRN EMT CONECTOR 25/250-PK</v>
      </c>
      <c r="E150" s="13"/>
      <c r="F150" s="43"/>
    </row>
    <row r="151" spans="1:6" x14ac:dyDescent="0.25">
      <c r="A151" s="3" t="str">
        <f>IF(D151="","",IFERROR(IF(E151=0,"",VLOOKUP(C151,'Product List'!B:E,4,FALSE)),""))</f>
        <v/>
      </c>
      <c r="B151" s="41" t="s">
        <v>1030</v>
      </c>
      <c r="C151" s="42" t="s">
        <v>1333</v>
      </c>
      <c r="D151" s="43" t="str">
        <f>IFERROR(IF(VLOOKUP(C151,'Product List'!B:C,2,FALSE)=VLOOKUP(B151,'Product List'!$A$2179:$DE$2338,2,FALSE),IFERROR(VLOOKUP(C151,'Product List'!B:D,3,FALSE),""),""),"")</f>
        <v>3/4 COMPRN R/T EMT CPLG 25/250-PK</v>
      </c>
      <c r="E151" s="13"/>
      <c r="F151" s="43"/>
    </row>
    <row r="152" spans="1:6" x14ac:dyDescent="0.25">
      <c r="A152" s="3" t="str">
        <f>IF(D152="","",IFERROR(IF(E152=0,"",VLOOKUP(C152,'Product List'!B:E,4,FALSE)),""))</f>
        <v/>
      </c>
      <c r="B152" s="41" t="s">
        <v>125</v>
      </c>
      <c r="C152" s="42" t="s">
        <v>1040</v>
      </c>
      <c r="D152" s="43" t="str">
        <f>IFERROR(IF(VLOOKUP(C152,'Product List'!B:C,2,FALSE)=VLOOKUP(B152,'Product List'!$A$2179:$DE$2338,2,FALSE),IFERROR(VLOOKUP(C152,'Product List'!B:D,3,FALSE),""),""),"")</f>
        <v>3/4" GROUNDING LOCKNUT</v>
      </c>
      <c r="E152" s="13"/>
      <c r="F152" s="43"/>
    </row>
    <row r="153" spans="1:6" x14ac:dyDescent="0.25">
      <c r="A153" s="3">
        <f>IF(D153="","",IFERROR(IF(E153=0,"",VLOOKUP(C153,'Product List'!B:E,4,FALSE)),""))</f>
        <v>4000000099</v>
      </c>
      <c r="B153" s="41" t="s">
        <v>125</v>
      </c>
      <c r="C153" s="42" t="s">
        <v>1046</v>
      </c>
      <c r="D153" s="43" t="str">
        <f>IFERROR(IF(VLOOKUP(C153,'Product List'!B:C,2,FALSE)=VLOOKUP(B153,'Product List'!$A$2179:$DE$2338,2,FALSE),IFERROR(VLOOKUP(C153,'Product List'!B:D,3,FALSE),""),""),"")</f>
        <v>3/4 GRD. BUSH. INS.14-4 ZINC</v>
      </c>
      <c r="E153" s="13">
        <v>2</v>
      </c>
      <c r="F153" s="43"/>
    </row>
    <row r="154" spans="1:6" x14ac:dyDescent="0.25">
      <c r="A154" s="3" t="str">
        <f>IF(D154="","",IFERROR(IF(E154=0,"",VLOOKUP(C154,'Product List'!B:E,4,FALSE)),""))</f>
        <v/>
      </c>
      <c r="B154" s="41" t="s">
        <v>1030</v>
      </c>
      <c r="C154" s="42">
        <v>6452</v>
      </c>
      <c r="D154" s="43" t="str">
        <f>IFERROR(IF(VLOOKUP(C154,'Product List'!B:C,2,FALSE)=VLOOKUP(B154,'Product List'!$A$2179:$DE$2338,2,FALSE),IFERROR(VLOOKUP(C154,'Product List'!B:D,3,FALSE),""),""),"")</f>
        <v>3/4XCL GALV NIPPLE 25/400-PK</v>
      </c>
      <c r="E154" s="13"/>
      <c r="F154" s="43"/>
    </row>
    <row r="155" spans="1:6" x14ac:dyDescent="0.25">
      <c r="A155" s="3" t="str">
        <f>IF(D155="","",IFERROR(IF(E155=0,"",VLOOKUP(C155,'Product List'!B:E,4,FALSE)),""))</f>
        <v/>
      </c>
      <c r="B155" s="41" t="s">
        <v>1030</v>
      </c>
      <c r="C155" s="42" t="s">
        <v>558</v>
      </c>
      <c r="D155" s="43" t="str">
        <f>IFERROR(IF(VLOOKUP(C155,'Product List'!B:C,2,FALSE)=VLOOKUP(B155,'Product List'!$A$2179:$DE$2338,2,FALSE),IFERROR(VLOOKUP(C155,'Product List'!B:D,3,FALSE),""),""),"")</f>
        <v>3/4 AL RGD LB COND BODY 10/50-PK</v>
      </c>
      <c r="E155" s="13"/>
      <c r="F155" s="43"/>
    </row>
    <row r="156" spans="1:6" x14ac:dyDescent="0.25">
      <c r="A156" s="3" t="str">
        <f>IF(D156="","",IFERROR(IF(E156=0,"",VLOOKUP(C156,'Product List'!B:E,4,FALSE)),""))</f>
        <v/>
      </c>
      <c r="B156" s="41" t="s">
        <v>1030</v>
      </c>
      <c r="C156" s="42" t="s">
        <v>561</v>
      </c>
      <c r="D156" s="43" t="str">
        <f>IFERROR(IF(VLOOKUP(C156,'Product List'!B:C,2,FALSE)=VLOOKUP(B156,'Product List'!$A$2179:$DE$2338,2,FALSE),IFERROR(VLOOKUP(C156,'Product List'!B:D,3,FALSE),""),""),"")</f>
        <v>3/4 AL RGD LL COND BODY 10/50-PK</v>
      </c>
      <c r="E156" s="13"/>
      <c r="F156" s="43"/>
    </row>
    <row r="157" spans="1:6" x14ac:dyDescent="0.25">
      <c r="A157" s="3" t="str">
        <f>IF(D157="","",IFERROR(IF(E157=0,"",VLOOKUP(C157,'Product List'!B:E,4,FALSE)),""))</f>
        <v/>
      </c>
      <c r="B157" s="41" t="s">
        <v>1030</v>
      </c>
      <c r="C157" s="42" t="s">
        <v>563</v>
      </c>
      <c r="D157" s="43" t="str">
        <f>IFERROR(IF(VLOOKUP(C157,'Product List'!B:C,2,FALSE)=VLOOKUP(B157,'Product List'!$A$2179:$DE$2338,2,FALSE),IFERROR(VLOOKUP(C157,'Product List'!B:D,3,FALSE),""),""),"")</f>
        <v>3/4 AL RGD LR COND BODY 10/50-PK</v>
      </c>
      <c r="E157" s="13"/>
      <c r="F157" s="43"/>
    </row>
    <row r="158" spans="1:6" x14ac:dyDescent="0.25">
      <c r="A158" s="3"/>
      <c r="B158" s="41" t="s">
        <v>125</v>
      </c>
      <c r="C158" s="42" t="s">
        <v>1050</v>
      </c>
      <c r="D158" s="43" t="s">
        <v>2903</v>
      </c>
      <c r="E158" s="13"/>
      <c r="F158" s="43"/>
    </row>
    <row r="159" spans="1:6" x14ac:dyDescent="0.25">
      <c r="A159" s="3" t="str">
        <f>IF(D159="","",IFERROR(IF(E159=0,"",VLOOKUP(C159,'Product List'!B:E,4,FALSE)),""))</f>
        <v/>
      </c>
      <c r="B159" s="41"/>
      <c r="C159" s="42" t="s">
        <v>2898</v>
      </c>
      <c r="D159" s="43" t="str">
        <f>IFERROR(IF(VLOOKUP(C159,'Product List'!B:C,2,FALSE)=VLOOKUP(B159,'Product List'!$A$2179:$DE$2338,2,FALSE),IFERROR(VLOOKUP(C159,'Product List'!B:D,3,FALSE),""),""),"")</f>
        <v/>
      </c>
      <c r="E159" s="13"/>
      <c r="F159" s="43"/>
    </row>
    <row r="160" spans="1:6" x14ac:dyDescent="0.25">
      <c r="A160" s="3">
        <f>IF(D160="","",IFERROR(IF(E160=0,"",VLOOKUP(C160,'Product List'!B:E,4,FALSE)),""))</f>
        <v>6000000373</v>
      </c>
      <c r="B160" s="41" t="s">
        <v>54</v>
      </c>
      <c r="C160" s="42" t="s">
        <v>1116</v>
      </c>
      <c r="D160" s="43" t="str">
        <f>IFERROR(IF(VLOOKUP(C160,'Product List'!B:C,2,FALSE)=VLOOKUP(B160,'Product List'!$A$2179:$DE$2338,2,FALSE),IFERROR(VLOOKUP(C160,'Product List'!B:D,3,FALSE),""),""),"")</f>
        <v>3/4" - FLEX ALUM (100) [2500]</v>
      </c>
      <c r="E160" s="13">
        <v>100</v>
      </c>
      <c r="F160" s="43"/>
    </row>
    <row r="161" spans="1:6" x14ac:dyDescent="0.25">
      <c r="A161" s="3">
        <f>IF(D161="","",IFERROR(IF(E161=0,"",VLOOKUP(C161,'Product List'!B:E,4,FALSE)),""))</f>
        <v>4000001234</v>
      </c>
      <c r="B161" s="41" t="s">
        <v>1030</v>
      </c>
      <c r="C161" s="42" t="s">
        <v>1322</v>
      </c>
      <c r="D161" s="43" t="str">
        <f>IFERROR(IF(VLOOKUP(C161,'Product List'!B:C,2,FALSE)=VLOOKUP(B161,'Product List'!$A$2179:$DE$2338,2,FALSE),IFERROR(VLOOKUP(C161,'Product List'!B:D,3,FALSE),""),""),"")</f>
        <v>3/4 D/C SCR-IN FLEX CONN 25/250PK</v>
      </c>
      <c r="E161" s="13">
        <v>4</v>
      </c>
      <c r="F161" s="43"/>
    </row>
    <row r="162" spans="1:6" x14ac:dyDescent="0.25">
      <c r="A162" s="3" t="str">
        <f>IF(D162="","",IFERROR(IF(E162=0,"",VLOOKUP(C162,'Product List'!B:E,4,FALSE)),""))</f>
        <v/>
      </c>
      <c r="B162" s="41" t="s">
        <v>1030</v>
      </c>
      <c r="C162" s="42">
        <v>462</v>
      </c>
      <c r="D162" s="43" t="str">
        <f>IFERROR(IF(VLOOKUP(C162,'Product List'!B:C,2,FALSE)=VLOOKUP(B162,'Product List'!$A$2179:$DE$2338,2,FALSE),IFERROR(VLOOKUP(C162,'Product List'!B:D,3,FALSE),""),""),"")</f>
        <v>3/4 D/C SCR-IN FLEX CPLG 25/250PK</v>
      </c>
      <c r="E162" s="13"/>
      <c r="F162" s="43"/>
    </row>
    <row r="163" spans="1:6" x14ac:dyDescent="0.25">
      <c r="A163" s="3" t="str">
        <f>IF(D163="","",IFERROR(IF(E163=0,"",VLOOKUP(C163,'Product List'!B:E,4,FALSE)),""))</f>
        <v/>
      </c>
      <c r="B163" s="41"/>
      <c r="C163" s="42" t="s">
        <v>2899</v>
      </c>
      <c r="D163" s="43" t="str">
        <f>IFERROR(IF(VLOOKUP(C163,'Product List'!B:C,2,FALSE)=VLOOKUP(B163,'Product List'!$A$2179:$DE$2338,2,FALSE),IFERROR(VLOOKUP(C163,'Product List'!B:D,3,FALSE),""),""),"")</f>
        <v/>
      </c>
      <c r="E163" s="13"/>
      <c r="F163" s="43"/>
    </row>
    <row r="164" spans="1:6" ht="18.75" x14ac:dyDescent="0.25">
      <c r="A164" s="3" t="str">
        <f>IF(D164="","",IFERROR(IF(E164=0,"",VLOOKUP(C164,'Product List'!B:E,4,FALSE)),""))</f>
        <v/>
      </c>
      <c r="B164" s="98" t="s">
        <v>52</v>
      </c>
      <c r="C164" s="99"/>
      <c r="D164" s="99"/>
      <c r="E164" s="99"/>
      <c r="F164" s="100"/>
    </row>
    <row r="165" spans="1:6" x14ac:dyDescent="0.25">
      <c r="A165" s="3" t="str">
        <f>IF(D165="","",IFERROR(IF(E165=0,"",VLOOKUP(C165,'Product List'!B:E,4,FALSE)),""))</f>
        <v/>
      </c>
      <c r="B165" s="27" t="s">
        <v>4</v>
      </c>
      <c r="C165" s="27" t="s">
        <v>643</v>
      </c>
      <c r="D165" s="27" t="s">
        <v>6</v>
      </c>
      <c r="E165" s="27" t="s">
        <v>644</v>
      </c>
      <c r="F165" s="27" t="s">
        <v>645</v>
      </c>
    </row>
    <row r="166" spans="1:6" x14ac:dyDescent="0.25">
      <c r="A166" s="3" t="str">
        <f>IF(D166="","",IFERROR(IF(E166=0,"",VLOOKUP(C166,'Product List'!B:E,4,FALSE)),""))</f>
        <v/>
      </c>
      <c r="B166" s="44" t="s">
        <v>52</v>
      </c>
      <c r="C166" s="45" t="s">
        <v>1389</v>
      </c>
      <c r="D166" s="46" t="str">
        <f>IFERROR(IF(VLOOKUP(C166,'Product List'!B:C,2,FALSE)=VLOOKUP(B166,'Product List'!$A$2179:$DE$2338,2,FALSE),IFERROR(VLOOKUP(C166,'Product List'!B:D,3,FALSE),""),""),"")</f>
        <v>THHN/THWN-2 #10 AWG STR BLK(500')</v>
      </c>
      <c r="E166" s="14"/>
      <c r="F166" s="46"/>
    </row>
    <row r="167" spans="1:6" x14ac:dyDescent="0.25">
      <c r="A167" s="3" t="str">
        <f>IF(D167="","",IFERROR(IF(E167=0,"",VLOOKUP(C167,'Product List'!B:E,4,FALSE)),""))</f>
        <v/>
      </c>
      <c r="B167" s="51" t="s">
        <v>52</v>
      </c>
      <c r="C167" s="52" t="s">
        <v>1391</v>
      </c>
      <c r="D167" s="53" t="str">
        <f>IFERROR(IF(VLOOKUP(C167,'Product List'!B:C,2,FALSE)=VLOOKUP(B167,'Product List'!$A$2179:$DE$2338,2,FALSE),IFERROR(VLOOKUP(C167,'Product List'!B:D,3,FALSE),""),""),"")</f>
        <v>THHN/THWN-2 #10 AWG STR RED(500')</v>
      </c>
      <c r="E167" s="10"/>
      <c r="F167" s="32"/>
    </row>
    <row r="168" spans="1:6" x14ac:dyDescent="0.25">
      <c r="A168" s="3" t="str">
        <f>IF(D168="","",IFERROR(IF(E168=0,"",VLOOKUP(C168,'Product List'!B:E,4,FALSE)),""))</f>
        <v/>
      </c>
      <c r="B168" s="44" t="s">
        <v>52</v>
      </c>
      <c r="C168" s="45" t="s">
        <v>1390</v>
      </c>
      <c r="D168" s="46" t="str">
        <f>IFERROR(IF(VLOOKUP(C168,'Product List'!B:C,2,FALSE)=VLOOKUP(B168,'Product List'!$A$2179:$DE$2338,2,FALSE),IFERROR(VLOOKUP(C168,'Product List'!B:D,3,FALSE),""),""),"")</f>
        <v>THHN/THWN-2 #10 AWG STR GRN(500')</v>
      </c>
      <c r="E168" s="14"/>
      <c r="F168" s="46"/>
    </row>
    <row r="169" spans="1:6" x14ac:dyDescent="0.25">
      <c r="A169" s="3" t="str">
        <f>IF(D169="","",IFERROR(IF(E169=0,"",VLOOKUP(C169,'Product List'!B:E,4,FALSE)),""))</f>
        <v/>
      </c>
      <c r="B169" s="51" t="s">
        <v>52</v>
      </c>
      <c r="C169" s="52" t="s">
        <v>1392</v>
      </c>
      <c r="D169" s="53" t="str">
        <f>IFERROR(IF(VLOOKUP(C169,'Product List'!B:C,2,FALSE)=VLOOKUP(B169,'Product List'!$A$2179:$DE$2338,2,FALSE),IFERROR(VLOOKUP(C169,'Product List'!B:D,3,FALSE),""),""),"")</f>
        <v>THHN/THWN-2 #10 AWG STR WHT(500')</v>
      </c>
      <c r="E169" s="10"/>
      <c r="F169" s="32"/>
    </row>
    <row r="170" spans="1:6" x14ac:dyDescent="0.25">
      <c r="A170" s="3" t="str">
        <f>IF(D170="","",IFERROR(IF(E170=0,"",VLOOKUP(C170,'Product List'!B:E,4,FALSE)),""))</f>
        <v/>
      </c>
      <c r="B170" s="44" t="s">
        <v>52</v>
      </c>
      <c r="C170" s="45" t="s">
        <v>1413</v>
      </c>
      <c r="D170" s="46" t="str">
        <f>IFERROR(IF(VLOOKUP(C170,'Product List'!B:C,2,FALSE)=VLOOKUP(B170,'Product List'!$A$2179:$DE$2338,2,FALSE),IFERROR(VLOOKUP(C170,'Product List'!B:D,3,FALSE),""),""),"")</f>
        <v>THHN-8 BLACK (500')</v>
      </c>
      <c r="E170" s="14"/>
      <c r="F170" s="46"/>
    </row>
    <row r="171" spans="1:6" x14ac:dyDescent="0.25">
      <c r="A171" s="3" t="str">
        <f>IF(D171="","",IFERROR(IF(E171=0,"",VLOOKUP(C171,'Product List'!B:E,4,FALSE)),""))</f>
        <v/>
      </c>
      <c r="B171" s="51" t="s">
        <v>52</v>
      </c>
      <c r="C171" s="52" t="s">
        <v>1415</v>
      </c>
      <c r="D171" s="53" t="str">
        <f>IFERROR(IF(VLOOKUP(C171,'Product List'!B:C,2,FALSE)=VLOOKUP(B171,'Product List'!$A$2179:$DE$2338,2,FALSE),IFERROR(VLOOKUP(C171,'Product List'!B:D,3,FALSE),""),""),"")</f>
        <v>THHN-8 RED (500')</v>
      </c>
      <c r="E171" s="10"/>
      <c r="F171" s="32"/>
    </row>
    <row r="172" spans="1:6" x14ac:dyDescent="0.25">
      <c r="A172" s="3" t="str">
        <f>IF(D172="","",IFERROR(IF(E172=0,"",VLOOKUP(C172,'Product List'!B:E,4,FALSE)),""))</f>
        <v/>
      </c>
      <c r="B172" s="44" t="s">
        <v>52</v>
      </c>
      <c r="C172" s="45" t="s">
        <v>1414</v>
      </c>
      <c r="D172" s="46" t="str">
        <f>IFERROR(IF(VLOOKUP(C172,'Product List'!B:C,2,FALSE)=VLOOKUP(B172,'Product List'!$A$2179:$DE$2338,2,FALSE),IFERROR(VLOOKUP(C172,'Product List'!B:D,3,FALSE),""),""),"")</f>
        <v>THHN-8 GREEN (500')</v>
      </c>
      <c r="E172" s="14"/>
      <c r="F172" s="46"/>
    </row>
    <row r="173" spans="1:6" s="4" customFormat="1" ht="18.75" customHeight="1" x14ac:dyDescent="0.25">
      <c r="A173" s="3" t="str">
        <f>IF(D173="","",IFERROR(IF(E173=0,"",VLOOKUP(C173,'Product List'!B:E,4,FALSE)),""))</f>
        <v/>
      </c>
      <c r="B173" s="44" t="s">
        <v>52</v>
      </c>
      <c r="C173" s="45" t="s">
        <v>1414</v>
      </c>
      <c r="D173" s="46" t="str">
        <f>IFERROR(IF(VLOOKUP(C173,'Product List'!B:C,2,FALSE)=VLOOKUP(B173,'Product List'!$A$2179:$DE$2338,2,FALSE),IFERROR(VLOOKUP(C173,'Product List'!B:D,3,FALSE),""),""),"")</f>
        <v>THHN-8 GREEN (500')</v>
      </c>
      <c r="E173" s="10"/>
      <c r="F173" s="32"/>
    </row>
    <row r="174" spans="1:6" x14ac:dyDescent="0.25">
      <c r="A174" s="3" t="str">
        <f>IF(D174="","",IFERROR(IF(E174=0,"",VLOOKUP(C174,'Product List'!B:E,4,FALSE)),""))</f>
        <v/>
      </c>
      <c r="B174" s="44" t="s">
        <v>52</v>
      </c>
      <c r="C174" s="45" t="s">
        <v>1409</v>
      </c>
      <c r="D174" s="46" t="str">
        <f>IFERROR(IF(VLOOKUP(C174,'Product List'!B:C,2,FALSE)=VLOOKUP(B174,'Product List'!$A$2179:$DE$2338,2,FALSE),IFERROR(VLOOKUP(C174,'Product List'!B:D,3,FALSE),""),""),"")</f>
        <v>THHN-6 BLACK (500')</v>
      </c>
      <c r="E174" s="14"/>
      <c r="F174" s="46"/>
    </row>
    <row r="175" spans="1:6" x14ac:dyDescent="0.25">
      <c r="A175" s="3" t="str">
        <f>IF(D175="","",IFERROR(IF(E175=0,"",VLOOKUP(C175,'Product List'!B:E,4,FALSE)),""))</f>
        <v/>
      </c>
      <c r="B175" s="51" t="s">
        <v>52</v>
      </c>
      <c r="C175" s="52" t="s">
        <v>1411</v>
      </c>
      <c r="D175" s="53" t="str">
        <f>IFERROR(IF(VLOOKUP(C175,'Product List'!B:C,2,FALSE)=VLOOKUP(B175,'Product List'!$A$2179:$DE$2338,2,FALSE),IFERROR(VLOOKUP(C175,'Product List'!B:D,3,FALSE),""),""),"")</f>
        <v>THHN-6 RED (500')</v>
      </c>
      <c r="E175" s="10"/>
      <c r="F175" s="32"/>
    </row>
    <row r="176" spans="1:6" x14ac:dyDescent="0.25">
      <c r="A176" s="3" t="str">
        <f>IF(D176="","",IFERROR(IF(E176=0,"",VLOOKUP(C176,'Product List'!B:E,4,FALSE)),""))</f>
        <v/>
      </c>
      <c r="B176" s="44" t="s">
        <v>52</v>
      </c>
      <c r="C176" s="45" t="s">
        <v>1410</v>
      </c>
      <c r="D176" s="46" t="str">
        <f>IFERROR(IF(VLOOKUP(C176,'Product List'!B:C,2,FALSE)=VLOOKUP(B176,'Product List'!$A$2179:$DE$2338,2,FALSE),IFERROR(VLOOKUP(C176,'Product List'!B:D,3,FALSE),""),""),"")</f>
        <v>THHN-6 GREEN (500')</v>
      </c>
      <c r="E176" s="14"/>
      <c r="F176" s="46"/>
    </row>
    <row r="177" spans="1:6" x14ac:dyDescent="0.25">
      <c r="A177" s="3" t="str">
        <f>IF(D177="","",IFERROR(IF(E177=0,"",VLOOKUP(C177,'Product List'!B:E,4,FALSE)),""))</f>
        <v/>
      </c>
      <c r="B177" s="51" t="s">
        <v>52</v>
      </c>
      <c r="C177" s="52" t="s">
        <v>1412</v>
      </c>
      <c r="D177" s="53" t="str">
        <f>IFERROR(IF(VLOOKUP(C177,'Product List'!B:C,2,FALSE)=VLOOKUP(B177,'Product List'!$A$2179:$DE$2338,2,FALSE),IFERROR(VLOOKUP(C177,'Product List'!B:D,3,FALSE),""),""),"")</f>
        <v>THHN-6 WHITE (500')</v>
      </c>
      <c r="E177" s="10"/>
      <c r="F177" s="32"/>
    </row>
    <row r="178" spans="1:6" x14ac:dyDescent="0.25">
      <c r="A178" s="3" t="str">
        <f>IF(D178="","",IFERROR(IF(E178=0,"",VLOOKUP(C178,'Product List'!B:E,4,FALSE)),""))</f>
        <v/>
      </c>
      <c r="B178" s="44"/>
      <c r="C178" s="45" t="s">
        <v>53</v>
      </c>
      <c r="D178" s="46" t="str">
        <f>IFERROR(IF(VLOOKUP(C178,'Product List'!B:C,2,FALSE)=VLOOKUP(B178,'Product List'!$A$2179:$DE$2338,2,FALSE),IFERROR(VLOOKUP(C178,'Product List'!B:D,3,FALSE),""),""),"")</f>
        <v/>
      </c>
      <c r="E178" s="14"/>
      <c r="F178" s="46"/>
    </row>
    <row r="179" spans="1:6" x14ac:dyDescent="0.25">
      <c r="A179" s="3" t="str">
        <f>IF(D179="","",IFERROR(IF(E179=0,"",VLOOKUP(C179,'Product List'!B:E,4,FALSE)),""))</f>
        <v/>
      </c>
      <c r="B179" s="51" t="s">
        <v>1034</v>
      </c>
      <c r="C179" s="52" t="s">
        <v>1421</v>
      </c>
      <c r="D179" s="53" t="str">
        <f>IFERROR(IF(VLOOKUP(C179,'Product List'!B:C,2,FALSE)=VLOOKUP(B179,'Product List'!$A$2179:$DE$2338,2,FALSE),IFERROR(VLOOKUP(C179,'Product List'!B:D,3,FALSE),""),""),"")</f>
        <v>BLK 10AWG 2KV PV WIRE (500')</v>
      </c>
      <c r="E179" s="10"/>
      <c r="F179" s="32"/>
    </row>
    <row r="180" spans="1:6" x14ac:dyDescent="0.25">
      <c r="A180" s="3" t="str">
        <f>IF(D180="","",IFERROR(IF(E180=0,"",VLOOKUP(C180,'Product List'!B:E,4,FALSE)),""))</f>
        <v/>
      </c>
      <c r="B180" s="44" t="s">
        <v>1034</v>
      </c>
      <c r="C180" s="45" t="s">
        <v>1422</v>
      </c>
      <c r="D180" s="46" t="str">
        <f>IFERROR(IF(VLOOKUP(C180,'Product List'!B:C,2,FALSE)=VLOOKUP(B180,'Product List'!$A$2179:$DE$2338,2,FALSE),IFERROR(VLOOKUP(C180,'Product List'!B:D,3,FALSE),""),""),"")</f>
        <v>RED 10AWG 2KV PV WIRE (500')</v>
      </c>
      <c r="E180" s="14"/>
      <c r="F180" s="46"/>
    </row>
    <row r="181" spans="1:6" s="4" customFormat="1" ht="18.75" customHeight="1" x14ac:dyDescent="0.25">
      <c r="A181" s="3" t="str">
        <f>IF(D181="","",IFERROR(IF(E181=0,"",VLOOKUP(C181,'Product List'!B:E,4,FALSE)),""))</f>
        <v/>
      </c>
      <c r="B181" s="44" t="s">
        <v>1034</v>
      </c>
      <c r="C181" s="45" t="s">
        <v>1423</v>
      </c>
      <c r="D181" s="46" t="str">
        <f>IFERROR(IF(VLOOKUP(C181,'Product List'!B:C,2,FALSE)=VLOOKUP(B181,'Product List'!$A$2179:$DE$2338,2,FALSE),IFERROR(VLOOKUP(C181,'Product List'!B:D,3,FALSE),""),""),"")</f>
        <v>PV WIRE 600V (500)</v>
      </c>
      <c r="E181" s="10"/>
      <c r="F181" s="32"/>
    </row>
    <row r="182" spans="1:6" x14ac:dyDescent="0.25">
      <c r="A182" s="3" t="str">
        <f>IF(D182="","",IFERROR(IF(E182=0,"",VLOOKUP(C182,'Product List'!B:E,4,FALSE)),""))</f>
        <v/>
      </c>
      <c r="B182" s="44" t="s">
        <v>1034</v>
      </c>
      <c r="C182" s="45" t="s">
        <v>1424</v>
      </c>
      <c r="D182" s="46" t="str">
        <f>IFERROR(IF(VLOOKUP(C182,'Product List'!B:C,2,FALSE)=VLOOKUP(B182,'Product List'!$A$2179:$DE$2338,2,FALSE),IFERROR(VLOOKUP(C182,'Product List'!B:D,3,FALSE),""),""),"")</f>
        <v>PV 600V (500)</v>
      </c>
      <c r="E182" s="14"/>
      <c r="F182" s="46"/>
    </row>
    <row r="183" spans="1:6" x14ac:dyDescent="0.25">
      <c r="A183" s="3" t="str">
        <f>IF(D183="","",IFERROR(IF(E183=0,"",VLOOKUP(C183,'Product List'!B:E,4,FALSE)),""))</f>
        <v/>
      </c>
      <c r="B183" s="51"/>
      <c r="C183" s="52" t="s">
        <v>53</v>
      </c>
      <c r="D183" s="53" t="str">
        <f>IFERROR(IF(VLOOKUP(C183,'Product List'!B:C,2,FALSE)=VLOOKUP(B183,'Product List'!$A$2179:$DE$2338,2,FALSE),IFERROR(VLOOKUP(C183,'Product List'!B:D,3,FALSE),""),""),"")</f>
        <v/>
      </c>
      <c r="E183" s="10"/>
      <c r="F183" s="32"/>
    </row>
    <row r="184" spans="1:6" x14ac:dyDescent="0.25">
      <c r="A184" s="3" t="str">
        <f>IF(D184="","",IFERROR(IF(E184=0,"",VLOOKUP(C184,'Product List'!B:E,4,FALSE)),""))</f>
        <v/>
      </c>
      <c r="B184" s="44" t="s">
        <v>52</v>
      </c>
      <c r="C184" s="45" t="s">
        <v>1379</v>
      </c>
      <c r="D184" s="46" t="str">
        <f>IFERROR(IF(VLOOKUP(C184,'Product List'!B:C,2,FALSE)=VLOOKUP(B184,'Product List'!$A$2179:$DE$2338,2,FALSE),IFERROR(VLOOKUP(C184,'Product List'!B:D,3,FALSE),""),""),"")</f>
        <v>8AWG SOLID BARE (500')</v>
      </c>
      <c r="E184" s="14"/>
      <c r="F184" s="46"/>
    </row>
    <row r="185" spans="1:6" x14ac:dyDescent="0.25">
      <c r="A185" s="3" t="str">
        <f>IF(D185="","",IFERROR(IF(E185=0,"",VLOOKUP(C185,'Product List'!B:E,4,FALSE)),""))</f>
        <v/>
      </c>
      <c r="B185" s="51" t="s">
        <v>52</v>
      </c>
      <c r="C185" s="52" t="s">
        <v>1378</v>
      </c>
      <c r="D185" s="53" t="str">
        <f>IFERROR(IF(VLOOKUP(C185,'Product List'!B:C,2,FALSE)=VLOOKUP(B185,'Product List'!$A$2179:$DE$2338,2,FALSE),IFERROR(VLOOKUP(C185,'Product List'!B:D,3,FALSE),""),""),"")</f>
        <v>6AWG SOLID BARE (315')</v>
      </c>
      <c r="E185" s="10"/>
      <c r="F185" s="32"/>
    </row>
    <row r="186" spans="1:6" x14ac:dyDescent="0.25">
      <c r="A186" s="3" t="str">
        <f>IF(D186="","",IFERROR(IF(E186=0,"",VLOOKUP(C186,'Product List'!B:E,4,FALSE)),""))</f>
        <v/>
      </c>
      <c r="B186" s="44" t="s">
        <v>52</v>
      </c>
      <c r="C186" s="45" t="s">
        <v>1377</v>
      </c>
      <c r="D186" s="46" t="str">
        <f>IFERROR(IF(VLOOKUP(C186,'Product List'!B:C,2,FALSE)=VLOOKUP(B186,'Product List'!$A$2179:$DE$2338,2,FALSE),IFERROR(VLOOKUP(C186,'Product List'!B:D,3,FALSE),""),""),"")</f>
        <v>4AWG SOLID BARE (200')</v>
      </c>
      <c r="E186" s="14"/>
      <c r="F186" s="46"/>
    </row>
    <row r="187" spans="1:6" x14ac:dyDescent="0.25">
      <c r="A187" s="3" t="str">
        <f>IF(D187="","",IFERROR(IF(E187=0,"",VLOOKUP(C187,'Product List'!B:E,4,FALSE)),""))</f>
        <v/>
      </c>
      <c r="B187" s="51"/>
      <c r="C187" s="52" t="s">
        <v>53</v>
      </c>
      <c r="D187" s="53" t="str">
        <f>IFERROR(IF(VLOOKUP(C187,'Product List'!B:C,2,FALSE)=VLOOKUP(B187,'Product List'!$A$2179:$DE$2338,2,FALSE),IFERROR(VLOOKUP(C187,'Product List'!B:D,3,FALSE),""),""),"")</f>
        <v/>
      </c>
      <c r="E187" s="65"/>
      <c r="F187" s="53"/>
    </row>
    <row r="188" spans="1:6" ht="18.75" x14ac:dyDescent="0.25">
      <c r="A188" s="3" t="str">
        <f>IF(D188="","",IFERROR(IF(E188=0,"",VLOOKUP(C188,'Product List'!B:E,4,FALSE)),""))</f>
        <v/>
      </c>
      <c r="B188" s="113" t="s">
        <v>55</v>
      </c>
      <c r="C188" s="114"/>
      <c r="D188" s="114"/>
      <c r="E188" s="114"/>
      <c r="F188" s="115"/>
    </row>
    <row r="189" spans="1:6" x14ac:dyDescent="0.25">
      <c r="A189" s="3" t="str">
        <f>IF(D189="","",IFERROR(IF(E189=0,"",VLOOKUP(C189,'Product List'!B:E,4,FALSE)),""))</f>
        <v/>
      </c>
      <c r="B189" s="27" t="s">
        <v>4</v>
      </c>
      <c r="C189" s="27" t="s">
        <v>643</v>
      </c>
      <c r="D189" s="27" t="s">
        <v>6</v>
      </c>
      <c r="E189" s="27" t="s">
        <v>644</v>
      </c>
      <c r="F189" s="27" t="s">
        <v>645</v>
      </c>
    </row>
    <row r="190" spans="1:6" x14ac:dyDescent="0.25">
      <c r="A190" s="3" t="str">
        <f>IF(D190="","",IFERROR(IF(E190=0,"",VLOOKUP(C190,'Product List'!B:E,4,FALSE)),""))</f>
        <v/>
      </c>
      <c r="B190" s="47" t="s">
        <v>22</v>
      </c>
      <c r="C190" s="48" t="s">
        <v>1080</v>
      </c>
      <c r="D190" s="49" t="str">
        <f>IFERROR(IF(VLOOKUP(C190,'Product List'!B:C,2,FALSE)=VLOOKUP(B190,'Product List'!$A$2179:$DE$2338,2,FALSE),IFERROR(VLOOKUP(C190,'Product List'!B:D,3,FALSE),""),""),"")</f>
        <v>2P 15A CB</v>
      </c>
      <c r="E190" s="15"/>
      <c r="F190" s="49"/>
    </row>
    <row r="191" spans="1:6" x14ac:dyDescent="0.25">
      <c r="A191" s="3">
        <f>IF(D191="","",IFERROR(IF(E191=0,"",VLOOKUP(C191,'Product List'!B:E,4,FALSE)),""))</f>
        <v>6000000196</v>
      </c>
      <c r="B191" s="67" t="s">
        <v>22</v>
      </c>
      <c r="C191" s="68" t="s">
        <v>57</v>
      </c>
      <c r="D191" s="69" t="str">
        <f>IFERROR(IF(VLOOKUP(C191,'Product List'!B:C,2,FALSE)=VLOOKUP(B191,'Product List'!$A$2179:$DE$2338,2,FALSE),IFERROR(VLOOKUP(C191,'Product List'!B:D,3,FALSE),""),""),"")</f>
        <v>CB 2P 20A 120/240 (5/BX)</v>
      </c>
      <c r="E191" s="10">
        <v>2</v>
      </c>
      <c r="F191" s="32"/>
    </row>
    <row r="192" spans="1:6" x14ac:dyDescent="0.25">
      <c r="A192" s="3" t="str">
        <f>IF(D192="","",IFERROR(IF(E192=0,"",VLOOKUP(C192,'Product List'!B:E,4,FALSE)),""))</f>
        <v/>
      </c>
      <c r="B192" s="47" t="s">
        <v>22</v>
      </c>
      <c r="C192" s="48" t="s">
        <v>168</v>
      </c>
      <c r="D192" s="49" t="str">
        <f>IFERROR(IF(VLOOKUP(C192,'Product List'!B:C,2,FALSE)=VLOOKUP(B192,'Product List'!$A$2179:$DE$2338,2,FALSE),IFERROR(VLOOKUP(C192,'Product List'!B:D,3,FALSE),""),""),"")</f>
        <v>2P 100A MAIN CB KT</v>
      </c>
      <c r="E192" s="15"/>
      <c r="F192" s="49"/>
    </row>
    <row r="193" spans="1:6" x14ac:dyDescent="0.25">
      <c r="A193" s="3">
        <f>IF(D193="","",IFERROR(IF(E193=0,"",VLOOKUP(C193,'Product List'!B:E,4,FALSE)),""))</f>
        <v>6000001142</v>
      </c>
      <c r="B193" s="67" t="s">
        <v>481</v>
      </c>
      <c r="C193" s="68" t="s">
        <v>528</v>
      </c>
      <c r="D193" s="69" t="str">
        <f>IFERROR(IF(VLOOKUP(C193,'Product List'!B:C,2,FALSE)=VLOOKUP(B193,'Product List'!$A$2179:$DE$2338,2,FALSE),IFERROR(VLOOKUP(C193,'Product List'!B:D,3,FALSE),""),""),"")</f>
        <v>MINIATURE CIRCUIT</v>
      </c>
      <c r="E193" s="10">
        <v>1</v>
      </c>
      <c r="F193" s="32" t="s">
        <v>724</v>
      </c>
    </row>
    <row r="194" spans="1:6" x14ac:dyDescent="0.25">
      <c r="A194" s="3">
        <f>IF(D194="","",IFERROR(IF(E194=0,"",VLOOKUP(C194,'Product List'!B:E,4,FALSE)),""))</f>
        <v>6000001132</v>
      </c>
      <c r="B194" s="47" t="s">
        <v>481</v>
      </c>
      <c r="C194" s="48" t="s">
        <v>518</v>
      </c>
      <c r="D194" s="49" t="str">
        <f>IFERROR(IF(VLOOKUP(C194,'Product List'!B:C,2,FALSE)=VLOOKUP(B194,'Product List'!$A$2179:$DE$2338,2,FALSE),IFERROR(VLOOKUP(C194,'Product List'!B:D,3,FALSE),""),""),"")</f>
        <v>MINIATURE CIRCUIT BREAKER</v>
      </c>
      <c r="E194" s="15">
        <v>1</v>
      </c>
      <c r="F194" s="49"/>
    </row>
    <row r="195" spans="1:6" x14ac:dyDescent="0.25">
      <c r="A195" s="3" t="str">
        <f>IF(D195="","",IFERROR(IF(E195=0,"",VLOOKUP(C195,'Product List'!B:E,4,FALSE)),""))</f>
        <v/>
      </c>
      <c r="B195" s="67" t="s">
        <v>481</v>
      </c>
      <c r="C195" s="68" t="s">
        <v>501</v>
      </c>
      <c r="D195" s="69" t="str">
        <f>IFERROR(IF(VLOOKUP(C195,'Product List'!B:C,2,FALSE)=VLOOKUP(B195,'Product List'!$A$2179:$DE$2338,2,FALSE),IFERROR(VLOOKUP(C195,'Product List'!B:D,3,FALSE),""),""),"")</f>
        <v>2P50A BRK</v>
      </c>
      <c r="E195" s="10"/>
      <c r="F195" s="32" t="s">
        <v>724</v>
      </c>
    </row>
    <row r="196" spans="1:6" x14ac:dyDescent="0.25">
      <c r="A196" s="3" t="str">
        <f>IF(D196="","",IFERROR(IF(E196=0,"",VLOOKUP(C196,'Product List'!B:E,4,FALSE)),""))</f>
        <v/>
      </c>
      <c r="B196" s="47" t="s">
        <v>1027</v>
      </c>
      <c r="C196" s="48" t="s">
        <v>308</v>
      </c>
      <c r="D196" s="49" t="str">
        <f>IFERROR(IF(VLOOKUP(C196,'Product List'!B:C,2,FALSE)=VLOOKUP(B196,'Product List'!$A$2179:$DE$2338,2,FALSE),IFERROR(VLOOKUP(C196,'Product List'!B:D,3,FALSE),""),""),"")</f>
        <v>2P 50A 120/240V CB</v>
      </c>
      <c r="E196" s="15"/>
      <c r="F196" s="49"/>
    </row>
    <row r="197" spans="1:6" x14ac:dyDescent="0.25">
      <c r="A197" s="3" t="str">
        <f>IF(D197="","",IFERROR(IF(E197=0,"",VLOOKUP(C197,'Product List'!B:E,4,FALSE)),""))</f>
        <v/>
      </c>
      <c r="B197" s="67" t="s">
        <v>218</v>
      </c>
      <c r="C197" s="68" t="s">
        <v>224</v>
      </c>
      <c r="D197" s="69" t="str">
        <f>IFERROR(IF(VLOOKUP(C197,'Product List'!B:C,2,FALSE)=VLOOKUP(B197,'Product List'!$A$2179:$DE$2338,2,FALSE),IFERROR(VLOOKUP(C197,'Product List'!B:D,3,FALSE),""),""),"")</f>
        <v>2P 40A 120/240 PLG-IN CB</v>
      </c>
      <c r="E197" s="10"/>
      <c r="F197" s="32" t="s">
        <v>724</v>
      </c>
    </row>
    <row r="198" spans="1:6" x14ac:dyDescent="0.25">
      <c r="A198" s="3" t="str">
        <f>IF(D198="","",IFERROR(IF(E198=0,"",VLOOKUP(C198,'Product List'!B:E,4,FALSE)),""))</f>
        <v/>
      </c>
      <c r="B198" s="47" t="s">
        <v>22</v>
      </c>
      <c r="C198" s="48" t="s">
        <v>157</v>
      </c>
      <c r="D198" s="49" t="str">
        <f>IFERROR(IF(VLOOKUP(C198,'Product List'!B:C,2,FALSE)=VLOOKUP(B198,'Product List'!$A$2179:$DE$2338,2,FALSE),IFERROR(VLOOKUP(C198,'Product List'!B:D,3,FALSE),""),""),"")</f>
        <v>2P 40A CB</v>
      </c>
      <c r="E198" s="15"/>
      <c r="F198" s="49"/>
    </row>
    <row r="199" spans="1:6" ht="18.75" x14ac:dyDescent="0.25">
      <c r="A199" s="3" t="str">
        <f>IF(D199="","",IFERROR(IF(E199=0,"",VLOOKUP(C199,'Product List'!B:E,4,FALSE)),""))</f>
        <v/>
      </c>
      <c r="B199" s="110" t="s">
        <v>65</v>
      </c>
      <c r="C199" s="111"/>
      <c r="D199" s="111"/>
      <c r="E199" s="111"/>
      <c r="F199" s="112"/>
    </row>
    <row r="200" spans="1:6" x14ac:dyDescent="0.25">
      <c r="A200" s="3" t="str">
        <f>IF(D200="","",IFERROR(IF(E200=0,"",VLOOKUP(C200,'Product List'!B:E,4,FALSE)),""))</f>
        <v/>
      </c>
      <c r="B200" s="27" t="s">
        <v>4</v>
      </c>
      <c r="C200" s="27" t="s">
        <v>643</v>
      </c>
      <c r="D200" s="27" t="s">
        <v>6</v>
      </c>
      <c r="E200" s="27" t="s">
        <v>644</v>
      </c>
      <c r="F200" s="27" t="s">
        <v>645</v>
      </c>
    </row>
    <row r="201" spans="1:6" s="4" customFormat="1" ht="18.75" customHeight="1" x14ac:dyDescent="0.25">
      <c r="A201" s="3" t="str">
        <f>IF(D201="","",IFERROR(IF(E201=0,"",VLOOKUP(C201,'Product List'!B:E,4,FALSE)),""))</f>
        <v/>
      </c>
      <c r="B201" s="50" t="s">
        <v>1019</v>
      </c>
      <c r="C201" s="50" t="s">
        <v>70</v>
      </c>
      <c r="D201" s="50" t="str">
        <f>IFERROR(IF(VLOOKUP(C201,'Product List'!B:C,2,FALSE)=VLOOKUP(B201,'Product List'!$A$2179:$DE$2338,2,FALSE),IFERROR(VLOOKUP(C201,'Product List'!B:D,3,FALSE),""),""),"")</f>
        <v>250V RK5 TD FUSE</v>
      </c>
      <c r="E201" s="16"/>
      <c r="F201" s="50" t="s">
        <v>725</v>
      </c>
    </row>
    <row r="202" spans="1:6" x14ac:dyDescent="0.25">
      <c r="A202" s="3" t="str">
        <f>IF(D202="","",IFERROR(IF(E202=0,"",VLOOKUP(C202,'Product List'!B:E,4,FALSE)),""))</f>
        <v/>
      </c>
      <c r="B202" s="52" t="s">
        <v>1019</v>
      </c>
      <c r="C202" s="52" t="s">
        <v>325</v>
      </c>
      <c r="D202" s="52" t="str">
        <f>IFERROR(IF(VLOOKUP(C202,'Product List'!B:C,2,FALSE)=VLOOKUP(B202,'Product List'!$A$2179:$DE$2338,2,FALSE),IFERROR(VLOOKUP(C202,'Product List'!B:D,3,FALSE),""),""),"")</f>
        <v>60A TO 30A FUSE REDUCER (10)</v>
      </c>
      <c r="E202" s="10"/>
      <c r="F202" s="31"/>
    </row>
    <row r="203" spans="1:6" x14ac:dyDescent="0.25">
      <c r="A203" s="3" t="str">
        <f>IF(D203="","",IFERROR(IF(E203=0,"",VLOOKUP(C203,'Product List'!B:E,4,FALSE)),""))</f>
        <v/>
      </c>
      <c r="B203" s="50" t="s">
        <v>1019</v>
      </c>
      <c r="C203" s="50" t="s">
        <v>324</v>
      </c>
      <c r="D203" s="50" t="str">
        <f>IFERROR(IF(VLOOKUP(C203,'Product List'!B:C,2,FALSE)=VLOOKUP(B203,'Product List'!$A$2179:$DE$2338,2,FALSE),IFERROR(VLOOKUP(C203,'Product List'!B:D,3,FALSE),""),""),"")</f>
        <v>100A TO 60A FUSE REDUCER (5)</v>
      </c>
      <c r="E203" s="16"/>
      <c r="F203" s="50"/>
    </row>
    <row r="204" spans="1:6" x14ac:dyDescent="0.25">
      <c r="A204" s="3" t="str">
        <f>IF(D204="","",IFERROR(IF(E204=0,"",VLOOKUP(C204,'Product List'!B:E,4,FALSE)),""))</f>
        <v/>
      </c>
      <c r="B204" s="52"/>
      <c r="C204" s="52"/>
      <c r="D204" s="52" t="str">
        <f>IFERROR(IF(VLOOKUP(C204,'Product List'!B:C,2,FALSE)=VLOOKUP(B204,'Product List'!$A$2179:$DE$2338,2,FALSE),IFERROR(VLOOKUP(C204,'Product List'!B:D,3,FALSE),""),""),"")</f>
        <v/>
      </c>
      <c r="E204" s="10"/>
      <c r="F204" s="31"/>
    </row>
    <row r="205" spans="1:6" x14ac:dyDescent="0.25">
      <c r="A205" s="3" t="str">
        <f>IF(D205="","",IFERROR(IF(E205=0,"",VLOOKUP(C205,'Product List'!B:E,4,FALSE)),""))</f>
        <v/>
      </c>
      <c r="B205" s="50"/>
      <c r="C205" s="50"/>
      <c r="D205" s="50" t="str">
        <f>IFERROR(IF(VLOOKUP(C205,'Product List'!B:C,2,FALSE)=VLOOKUP(B205,'Product List'!$A$2179:$DE$2338,2,FALSE),IFERROR(VLOOKUP(C205,'Product List'!B:D,3,FALSE),""),""),"")</f>
        <v/>
      </c>
      <c r="E205" s="16"/>
      <c r="F205" s="50"/>
    </row>
    <row r="206" spans="1:6" x14ac:dyDescent="0.25">
      <c r="A206" s="3" t="str">
        <f>IF(D206="","",IFERROR(IF(E206=0,"",VLOOKUP(C206,'Product List'!B:E,4,FALSE)),""))</f>
        <v/>
      </c>
      <c r="B206" s="52"/>
      <c r="C206" s="52"/>
      <c r="D206" s="52" t="str">
        <f>IFERROR(IF(VLOOKUP(C206,'Product List'!B:C,2,FALSE)=VLOOKUP(B206,'Product List'!$A$2179:$DE$2338,2,FALSE),IFERROR(VLOOKUP(C206,'Product List'!B:D,3,FALSE),""),""),"")</f>
        <v/>
      </c>
      <c r="E206" s="10"/>
      <c r="F206" s="32"/>
    </row>
    <row r="207" spans="1:6" ht="18.75" x14ac:dyDescent="0.25">
      <c r="A207" s="3" t="str">
        <f>IF(D207="","",IFERROR(IF(E207=0,"",VLOOKUP(C207,'Product List'!B:E,4,FALSE)),""))</f>
        <v/>
      </c>
      <c r="B207" s="107" t="s">
        <v>71</v>
      </c>
      <c r="C207" s="108"/>
      <c r="D207" s="108"/>
      <c r="E207" s="108"/>
      <c r="F207" s="109"/>
    </row>
    <row r="208" spans="1:6" x14ac:dyDescent="0.25">
      <c r="A208" s="3" t="str">
        <f>IF(D208="","",IFERROR(IF(E208=0,"",VLOOKUP(C208,'Product List'!B:E,4,FALSE)),""))</f>
        <v/>
      </c>
      <c r="B208" s="27" t="s">
        <v>4</v>
      </c>
      <c r="C208" s="27" t="s">
        <v>643</v>
      </c>
      <c r="D208" s="27" t="s">
        <v>6</v>
      </c>
      <c r="E208" s="27" t="s">
        <v>644</v>
      </c>
      <c r="F208" s="27" t="s">
        <v>645</v>
      </c>
    </row>
    <row r="209" spans="1:6" x14ac:dyDescent="0.25">
      <c r="A209" s="3" t="str">
        <f>IF(D209="","",IFERROR(IF(E209=0,"",VLOOKUP(C209,'Product List'!B:E,4,FALSE)),""))</f>
        <v/>
      </c>
      <c r="B209" s="28"/>
      <c r="C209" s="29" t="s">
        <v>73</v>
      </c>
      <c r="D209" s="29" t="str">
        <f>IFERROR(IF(VLOOKUP(C209,'Product List'!B:C,2,FALSE)=VLOOKUP(B209,'Product List'!$A$2179:$DE$2338,2,FALSE),IFERROR(VLOOKUP(C209,'Product List'!B:D,3,FALSE),""),""),"")</f>
        <v/>
      </c>
      <c r="E209" s="9"/>
      <c r="F209" s="30"/>
    </row>
    <row r="210" spans="1:6" x14ac:dyDescent="0.25">
      <c r="A210" s="3" t="str">
        <f>IF(D210="","",IFERROR(IF(E210=0,"",VLOOKUP(C210,'Product List'!B:E,4,FALSE)),""))</f>
        <v/>
      </c>
      <c r="B210" s="54"/>
      <c r="C210" s="55" t="s">
        <v>888</v>
      </c>
      <c r="D210" s="55" t="str">
        <f>IFERROR(IF(VLOOKUP(C210,'Product List'!B:C,2,FALSE)=VLOOKUP(B210,'Product List'!$A$2179:$DE$2338,2,FALSE),IFERROR(VLOOKUP(C210,'Product List'!B:D,3,FALSE),""),""),"")</f>
        <v/>
      </c>
      <c r="E210" s="10"/>
      <c r="F210" s="32"/>
    </row>
    <row r="211" spans="1:6" x14ac:dyDescent="0.25">
      <c r="A211" s="3" t="str">
        <f>IF(D211="","",IFERROR(IF(E211=0,"",VLOOKUP(C211,'Product List'!B:E,4,FALSE)),""))</f>
        <v/>
      </c>
      <c r="B211" s="28"/>
      <c r="C211" s="29" t="s">
        <v>394</v>
      </c>
      <c r="D211" s="29" t="str">
        <f>IFERROR(IF(VLOOKUP(C211,'Product List'!B:C,2,FALSE)=VLOOKUP(B211,'Product List'!$A$2179:$DE$2338,2,FALSE),IFERROR(VLOOKUP(C211,'Product List'!B:D,3,FALSE),""),""),"")</f>
        <v/>
      </c>
      <c r="E211" s="9"/>
      <c r="F211" s="30"/>
    </row>
    <row r="212" spans="1:6" x14ac:dyDescent="0.25">
      <c r="A212" s="3" t="str">
        <f>IF(D212="","",IFERROR(IF(E212=0,"",VLOOKUP(C212,'Product List'!B:E,4,FALSE)),""))</f>
        <v/>
      </c>
      <c r="B212" s="54"/>
      <c r="C212" s="55" t="s">
        <v>889</v>
      </c>
      <c r="D212" s="55" t="str">
        <f>IFERROR(IF(VLOOKUP(C212,'Product List'!B:C,2,FALSE)=VLOOKUP(B212,'Product List'!$A$2179:$DE$2338,2,FALSE),IFERROR(VLOOKUP(C212,'Product List'!B:D,3,FALSE),""),""),"")</f>
        <v/>
      </c>
      <c r="E212" s="10"/>
      <c r="F212" s="32"/>
    </row>
    <row r="213" spans="1:6" ht="18.75" customHeight="1" x14ac:dyDescent="0.25">
      <c r="A213" s="3" t="str">
        <f>IF(D213="","",IFERROR(IF(E213=0,"",VLOOKUP(C213,'Product List'!B:E,4,FALSE)),""))</f>
        <v/>
      </c>
      <c r="B213" s="28"/>
      <c r="C213" s="29" t="s">
        <v>890</v>
      </c>
      <c r="D213" s="29" t="str">
        <f>IFERROR(IF(VLOOKUP(C213,'Product List'!B:C,2,FALSE)=VLOOKUP(B213,'Product List'!$A$2179:$DE$2338,2,FALSE),IFERROR(VLOOKUP(C213,'Product List'!B:D,3,FALSE),""),""),"")</f>
        <v/>
      </c>
      <c r="E213" s="9"/>
      <c r="F213" s="30"/>
    </row>
    <row r="214" spans="1:6" x14ac:dyDescent="0.25">
      <c r="A214" s="3" t="str">
        <f>IF(D214="","",IFERROR(IF(E214=0,"",VLOOKUP(C214,'Product List'!B:E,4,FALSE)),""))</f>
        <v/>
      </c>
      <c r="B214" s="54"/>
      <c r="C214" s="55" t="s">
        <v>73</v>
      </c>
      <c r="D214" s="55" t="str">
        <f>IFERROR(IF(VLOOKUP(C214,'Product List'!B:C,2,FALSE)=VLOOKUP(B214,'Product List'!$A$2179:$DE$2338,2,FALSE),IFERROR(VLOOKUP(C214,'Product List'!B:D,3,FALSE),""),""),"")</f>
        <v/>
      </c>
      <c r="E214" s="10"/>
      <c r="F214" s="32"/>
    </row>
    <row r="215" spans="1:6" x14ac:dyDescent="0.25">
      <c r="A215" s="3" t="str">
        <f>IF(D215="","",IFERROR(IF(E215=0,"",VLOOKUP(C215,'Product List'!B:E,4,FALSE)),""))</f>
        <v/>
      </c>
      <c r="B215" s="28"/>
      <c r="C215" s="29" t="s">
        <v>891</v>
      </c>
      <c r="D215" s="29" t="str">
        <f>IFERROR(IF(VLOOKUP(C215,'Product List'!B:C,2,FALSE)=VLOOKUP(B215,'Product List'!$A$2179:$DE$2338,2,FALSE),IFERROR(VLOOKUP(C215,'Product List'!B:D,3,FALSE),""),""),"")</f>
        <v/>
      </c>
      <c r="E215" s="9"/>
      <c r="F215" s="30"/>
    </row>
    <row r="216" spans="1:6" x14ac:dyDescent="0.25">
      <c r="A216" s="3" t="str">
        <f>IF(D216="","",IFERROR(IF(E216=0,"",VLOOKUP(C216,'Product List'!B:E,4,FALSE)),""))</f>
        <v/>
      </c>
      <c r="B216" s="54"/>
      <c r="C216" s="55" t="s">
        <v>892</v>
      </c>
      <c r="D216" s="55" t="str">
        <f>IFERROR(IF(VLOOKUP(C216,'Product List'!B:C,2,FALSE)=VLOOKUP(B216,'Product List'!$A$2179:$DE$2338,2,FALSE),IFERROR(VLOOKUP(C216,'Product List'!B:D,3,FALSE),""),""),"")</f>
        <v/>
      </c>
      <c r="E216" s="10"/>
      <c r="F216" s="32"/>
    </row>
    <row r="217" spans="1:6" x14ac:dyDescent="0.25">
      <c r="A217" s="3" t="str">
        <f>IF(D217="","",IFERROR(IF(E217=0,"",VLOOKUP(C217,'Product List'!B:E,4,FALSE)),""))</f>
        <v/>
      </c>
      <c r="B217" s="28"/>
      <c r="C217" s="29" t="s">
        <v>893</v>
      </c>
      <c r="D217" s="29" t="str">
        <f>IFERROR(IF(VLOOKUP(C217,'Product List'!B:C,2,FALSE)=VLOOKUP(B217,'Product List'!$A$2179:$DE$2338,2,FALSE),IFERROR(VLOOKUP(C217,'Product List'!B:D,3,FALSE),""),""),"")</f>
        <v/>
      </c>
      <c r="E217" s="9"/>
      <c r="F217" s="30"/>
    </row>
    <row r="218" spans="1:6" x14ac:dyDescent="0.25">
      <c r="A218" s="3" t="str">
        <f>IF(D218="","",IFERROR(IF(E218=0,"",VLOOKUP(C218,'Product List'!B:E,4,FALSE)),""))</f>
        <v/>
      </c>
      <c r="B218" s="54"/>
      <c r="C218" s="55" t="s">
        <v>888</v>
      </c>
      <c r="D218" s="55" t="str">
        <f>IFERROR(IF(VLOOKUP(C218,'Product List'!B:C,2,FALSE)=VLOOKUP(B218,'Product List'!$A$2179:$DE$2338,2,FALSE),IFERROR(VLOOKUP(C218,'Product List'!B:D,3,FALSE),""),""),"")</f>
        <v/>
      </c>
      <c r="E218" s="10"/>
      <c r="F218" s="32"/>
    </row>
    <row r="219" spans="1:6" x14ac:dyDescent="0.25">
      <c r="A219" s="3" t="str">
        <f>IF(D219="","",IFERROR(IF(E219=0,"",VLOOKUP(C219,'Product List'!B:E,4,FALSE)),""))</f>
        <v/>
      </c>
      <c r="B219" s="28"/>
      <c r="C219" s="29" t="s">
        <v>394</v>
      </c>
      <c r="D219" s="29" t="str">
        <f>IFERROR(IF(VLOOKUP(C219,'Product List'!B:C,2,FALSE)=VLOOKUP(B219,'Product List'!$A$2179:$DE$2338,2,FALSE),IFERROR(VLOOKUP(C219,'Product List'!B:D,3,FALSE),""),""),"")</f>
        <v/>
      </c>
      <c r="E219" s="9"/>
      <c r="F219" s="30"/>
    </row>
    <row r="220" spans="1:6" x14ac:dyDescent="0.25">
      <c r="A220" s="3" t="str">
        <f>IF(D220="","",IFERROR(IF(E220=0,"",VLOOKUP(C220,'Product List'!B:E,4,FALSE)),""))</f>
        <v/>
      </c>
      <c r="B220" s="54"/>
      <c r="C220" s="55" t="s">
        <v>889</v>
      </c>
      <c r="D220" s="55" t="str">
        <f>IFERROR(IF(VLOOKUP(C220,'Product List'!B:C,2,FALSE)=VLOOKUP(B220,'Product List'!$A$2179:$DE$2338,2,FALSE),IFERROR(VLOOKUP(C220,'Product List'!B:D,3,FALSE),""),""),"")</f>
        <v/>
      </c>
      <c r="E220" s="10"/>
      <c r="F220" s="32"/>
    </row>
    <row r="221" spans="1:6" x14ac:dyDescent="0.25">
      <c r="A221" s="3" t="str">
        <f>IF(D221="","",IFERROR(IF(E221=0,"",VLOOKUP(C221,'Product List'!B:E,4,FALSE)),""))</f>
        <v/>
      </c>
      <c r="B221" s="28"/>
      <c r="C221" s="29" t="s">
        <v>890</v>
      </c>
      <c r="D221" s="29" t="str">
        <f>IFERROR(IF(VLOOKUP(C221,'Product List'!B:C,2,FALSE)=VLOOKUP(B221,'Product List'!$A$2179:$DE$2338,2,FALSE),IFERROR(VLOOKUP(C221,'Product List'!B:D,3,FALSE),""),""),"")</f>
        <v/>
      </c>
      <c r="E221" s="9"/>
      <c r="F221" s="30"/>
    </row>
    <row r="222" spans="1:6" x14ac:dyDescent="0.25">
      <c r="A222" s="3" t="str">
        <f>IF(D222="","",IFERROR(IF(E222=0,"",VLOOKUP(C222,'Product List'!B:E,4,FALSE)),""))</f>
        <v/>
      </c>
      <c r="B222" s="54"/>
      <c r="C222" s="55" t="s">
        <v>73</v>
      </c>
      <c r="D222" s="55" t="str">
        <f>IFERROR(IF(VLOOKUP(C222,'Product List'!B:C,2,FALSE)=VLOOKUP(B222,'Product List'!$A$2179:$DE$2338,2,FALSE),IFERROR(VLOOKUP(C222,'Product List'!B:D,3,FALSE),""),""),"")</f>
        <v/>
      </c>
      <c r="E222" s="10"/>
      <c r="F222" s="32"/>
    </row>
    <row r="223" spans="1:6" x14ac:dyDescent="0.25">
      <c r="A223" s="3" t="str">
        <f>IF(D223="","",IFERROR(IF(E223=0,"",VLOOKUP(C223,'Product List'!B:E,4,FALSE)),""))</f>
        <v/>
      </c>
      <c r="B223" s="28"/>
      <c r="C223" s="29" t="s">
        <v>891</v>
      </c>
      <c r="D223" s="29" t="str">
        <f>IFERROR(IF(VLOOKUP(C223,'Product List'!B:C,2,FALSE)=VLOOKUP(B223,'Product List'!$A$2179:$DE$2338,2,FALSE),IFERROR(VLOOKUP(C223,'Product List'!B:D,3,FALSE),""),""),"")</f>
        <v/>
      </c>
      <c r="E223" s="9"/>
      <c r="F223" s="30"/>
    </row>
    <row r="224" spans="1:6" x14ac:dyDescent="0.25">
      <c r="A224" s="3" t="str">
        <f>IF(D224="","",IFERROR(IF(E224=0,"",VLOOKUP(C224,'Product List'!B:E,4,FALSE)),""))</f>
        <v/>
      </c>
      <c r="B224" s="54"/>
      <c r="C224" s="55" t="s">
        <v>892</v>
      </c>
      <c r="D224" s="55" t="str">
        <f>IFERROR(IF(VLOOKUP(C224,'Product List'!B:C,2,FALSE)=VLOOKUP(B224,'Product List'!$A$2179:$DE$2338,2,FALSE),IFERROR(VLOOKUP(C224,'Product List'!B:D,3,FALSE),""),""),"")</f>
        <v/>
      </c>
      <c r="E224" s="10"/>
      <c r="F224" s="32"/>
    </row>
    <row r="225" spans="1:6" x14ac:dyDescent="0.25">
      <c r="A225" s="3" t="str">
        <f>IF(D225="","",IFERROR(IF(E225=0,"",VLOOKUP(C225,'Product List'!B:E,4,FALSE)),""))</f>
        <v/>
      </c>
      <c r="B225" s="28"/>
      <c r="C225" s="29" t="s">
        <v>893</v>
      </c>
      <c r="D225" s="29" t="str">
        <f>IFERROR(IF(VLOOKUP(C225,'Product List'!B:C,2,FALSE)=VLOOKUP(B225,'Product List'!$A$2179:$DE$2338,2,FALSE),IFERROR(VLOOKUP(C225,'Product List'!B:D,3,FALSE),""),""),"")</f>
        <v/>
      </c>
      <c r="E225" s="9"/>
      <c r="F225" s="30"/>
    </row>
    <row r="226" spans="1:6" x14ac:dyDescent="0.25">
      <c r="A226" s="3" t="str">
        <f>IF(D226="","",IFERROR(IF(E226=0,"",VLOOKUP(C226,'Product List'!B:E,4,FALSE)),""))</f>
        <v/>
      </c>
      <c r="B226" s="54"/>
      <c r="C226" s="55" t="s">
        <v>894</v>
      </c>
      <c r="D226" s="55" t="str">
        <f>IFERROR(IF(VLOOKUP(C226,'Product List'!B:C,2,FALSE)=VLOOKUP(B226,'Product List'!$A$2179:$DE$2338,2,FALSE),IFERROR(VLOOKUP(C226,'Product List'!B:D,3,FALSE),""),""),"")</f>
        <v/>
      </c>
      <c r="E226" s="10"/>
      <c r="F226" s="32"/>
    </row>
    <row r="227" spans="1:6" ht="18.75" x14ac:dyDescent="0.25">
      <c r="A227" s="3" t="str">
        <f>IF(D227="","",IFERROR(IF(E227=0,"",VLOOKUP(C227,'Product List'!B:E,4,FALSE)),""))</f>
        <v/>
      </c>
      <c r="B227" s="104" t="s">
        <v>636</v>
      </c>
      <c r="C227" s="105"/>
      <c r="D227" s="105"/>
      <c r="E227" s="105"/>
      <c r="F227" s="106"/>
    </row>
    <row r="228" spans="1:6" x14ac:dyDescent="0.25">
      <c r="A228" s="3" t="str">
        <f>IF(D228="","",IFERROR(IF(E228=0,"",VLOOKUP(C228,'Product List'!B:E,4,FALSE)),""))</f>
        <v/>
      </c>
      <c r="B228" s="27" t="s">
        <v>4</v>
      </c>
      <c r="C228" s="27" t="s">
        <v>643</v>
      </c>
      <c r="D228" s="27" t="s">
        <v>6</v>
      </c>
      <c r="E228" s="27" t="s">
        <v>644</v>
      </c>
      <c r="F228" s="27" t="s">
        <v>645</v>
      </c>
    </row>
    <row r="229" spans="1:6" x14ac:dyDescent="0.25">
      <c r="A229" s="3">
        <f>IF(D229="","",IFERROR(IF(E229=0,"",VLOOKUP(C229,'Product List'!B:E,4,FALSE)),""))</f>
        <v>4000000143</v>
      </c>
      <c r="B229" s="33" t="s">
        <v>132</v>
      </c>
      <c r="C229" s="34" t="s">
        <v>134</v>
      </c>
      <c r="D229" s="35" t="str">
        <f>IFERROR(IF(VLOOKUP(C229,'Product List'!B:C,2,FALSE)=VLOOKUP(B229,'Product List'!$A$2180:$DO$2332,2,FALSE),IFERROR(VLOOKUP(C229,'Product List'!B:D,3,FALSE),""),""),"")</f>
        <v>GRAY - M1 SEALANT</v>
      </c>
      <c r="E229" s="11">
        <v>1</v>
      </c>
      <c r="F229" s="35"/>
    </row>
    <row r="230" spans="1:6" x14ac:dyDescent="0.25">
      <c r="B230" s="56"/>
      <c r="C230" s="57" t="s">
        <v>25</v>
      </c>
      <c r="D230" s="70" t="str">
        <f>IFERROR(IF(VLOOKUP(C230,'Product List'!B:C,2,FALSE)=VLOOKUP(B230,'Product List'!$A$2180:$DO$2332,2,FALSE),IFERROR(VLOOKUP(C230,'Product List'!B:D,3,FALSE),""),""),"")</f>
        <v/>
      </c>
      <c r="E230" s="10"/>
      <c r="F230" s="32"/>
    </row>
    <row r="231" spans="1:6" x14ac:dyDescent="0.25">
      <c r="B231" s="33"/>
      <c r="C231" s="34" t="s">
        <v>25</v>
      </c>
      <c r="D231" s="35" t="str">
        <f>IFERROR(IF(VLOOKUP(C231,'Product List'!B:C,2,FALSE)=VLOOKUP(B231,'Product List'!$A$2180:$DO$2332,2,FALSE),IFERROR(VLOOKUP(C231,'Product List'!B:D,3,FALSE),""),""),"")</f>
        <v/>
      </c>
      <c r="E231" s="11"/>
      <c r="F231" s="35"/>
    </row>
    <row r="232" spans="1:6" x14ac:dyDescent="0.25">
      <c r="B232" s="56"/>
      <c r="C232" s="57" t="s">
        <v>25</v>
      </c>
      <c r="D232" s="70" t="str">
        <f>IFERROR(IF(VLOOKUP(C232,'Product List'!B:C,2,FALSE)=VLOOKUP(B232,'Product List'!$A$2180:$DO$2332,2,FALSE),IFERROR(VLOOKUP(C232,'Product List'!B:D,3,FALSE),""),""),"")</f>
        <v/>
      </c>
      <c r="E232" s="10"/>
      <c r="F232" s="32"/>
    </row>
    <row r="233" spans="1:6" x14ac:dyDescent="0.25">
      <c r="B233" s="33"/>
      <c r="C233" s="34" t="s">
        <v>25</v>
      </c>
      <c r="D233" s="35" t="str">
        <f>IFERROR(IF(VLOOKUP(C233,'Product List'!B:C,2,FALSE)=VLOOKUP(B233,'Product List'!$A$2180:$DO$2332,2,FALSE),IFERROR(VLOOKUP(C233,'Product List'!B:D,3,FALSE),""),""),"")</f>
        <v/>
      </c>
      <c r="E233" s="11"/>
      <c r="F233" s="35"/>
    </row>
    <row r="234" spans="1:6" x14ac:dyDescent="0.25">
      <c r="B234" s="56"/>
      <c r="C234" s="57" t="s">
        <v>25</v>
      </c>
      <c r="D234" s="70" t="str">
        <f>IFERROR(IF(VLOOKUP(C234,'Product List'!B:C,2,FALSE)=VLOOKUP(B234,'Product List'!$A$2180:$DO$2332,2,FALSE),IFERROR(VLOOKUP(C234,'Product List'!B:D,3,FALSE),""),""),"")</f>
        <v/>
      </c>
      <c r="E234" s="10"/>
      <c r="F234" s="32"/>
    </row>
    <row r="235" spans="1:6" x14ac:dyDescent="0.25">
      <c r="B235" s="33"/>
      <c r="C235" s="34" t="s">
        <v>25</v>
      </c>
      <c r="D235" s="35" t="str">
        <f>IFERROR(IF(VLOOKUP(C235,'Product List'!B:C,2,FALSE)=VLOOKUP(B235,'Product List'!$A$2180:$DO$2332,2,FALSE),IFERROR(VLOOKUP(C235,'Product List'!B:D,3,FALSE),""),""),"")</f>
        <v/>
      </c>
      <c r="E235" s="11"/>
      <c r="F235" s="35"/>
    </row>
    <row r="236" spans="1:6" x14ac:dyDescent="0.25">
      <c r="B236" s="56"/>
      <c r="C236" s="57" t="s">
        <v>25</v>
      </c>
      <c r="D236" s="70" t="str">
        <f>IFERROR(IF(VLOOKUP(C236,'Product List'!B:C,2,FALSE)=VLOOKUP(B236,'Product List'!$A$2180:$DO$2332,2,FALSE),IFERROR(VLOOKUP(C236,'Product List'!B:D,3,FALSE),""),""),"")</f>
        <v/>
      </c>
      <c r="E236" s="10"/>
      <c r="F236" s="32"/>
    </row>
    <row r="237" spans="1:6" x14ac:dyDescent="0.25">
      <c r="B237" s="33"/>
      <c r="C237" s="34" t="s">
        <v>25</v>
      </c>
      <c r="D237" s="35" t="str">
        <f>IFERROR(IF(VLOOKUP(C237,'Product List'!B:C,2,FALSE)=VLOOKUP(B237,'Product List'!$A$2180:$DO$2332,2,FALSE),IFERROR(VLOOKUP(C237,'Product List'!B:D,3,FALSE),""),""),"")</f>
        <v/>
      </c>
      <c r="E237" s="11"/>
      <c r="F237" s="35"/>
    </row>
    <row r="238" spans="1:6" x14ac:dyDescent="0.25">
      <c r="B238" s="56"/>
      <c r="C238" s="57" t="s">
        <v>25</v>
      </c>
      <c r="D238" s="70" t="str">
        <f>IFERROR(IF(VLOOKUP(C238,'Product List'!B:C,2,FALSE)=VLOOKUP(B238,'Product List'!$A$2180:$DO$2332,2,FALSE),IFERROR(VLOOKUP(C238,'Product List'!B:D,3,FALSE),""),""),"")</f>
        <v/>
      </c>
      <c r="E238" s="10"/>
      <c r="F238" s="31"/>
    </row>
    <row r="239" spans="1:6" ht="18.75" x14ac:dyDescent="0.3">
      <c r="B239" s="101" t="s">
        <v>646</v>
      </c>
      <c r="C239" s="102"/>
      <c r="D239" s="102"/>
      <c r="E239" s="102"/>
      <c r="F239" s="103"/>
    </row>
    <row r="240" spans="1:6" x14ac:dyDescent="0.25">
      <c r="B240" s="27" t="s">
        <v>4</v>
      </c>
      <c r="C240" s="27" t="s">
        <v>643</v>
      </c>
      <c r="D240" s="27" t="s">
        <v>6</v>
      </c>
      <c r="E240" s="27" t="s">
        <v>644</v>
      </c>
      <c r="F240" s="27" t="s">
        <v>645</v>
      </c>
    </row>
    <row r="241" spans="1:402" x14ac:dyDescent="0.25">
      <c r="B241" s="36" t="s">
        <v>2932</v>
      </c>
      <c r="C241" s="37">
        <v>2012035</v>
      </c>
      <c r="D241" s="38" t="s">
        <v>2934</v>
      </c>
      <c r="E241" s="17">
        <v>9</v>
      </c>
      <c r="F241" s="39"/>
    </row>
    <row r="242" spans="1:402" x14ac:dyDescent="0.25">
      <c r="B242" s="20" t="s">
        <v>2932</v>
      </c>
      <c r="C242" s="31">
        <v>2012045</v>
      </c>
      <c r="D242" s="31" t="s">
        <v>2935</v>
      </c>
      <c r="E242" s="10">
        <v>4</v>
      </c>
      <c r="F242" s="32"/>
    </row>
    <row r="243" spans="1:402" x14ac:dyDescent="0.25">
      <c r="B243" s="36" t="s">
        <v>2932</v>
      </c>
      <c r="C243" s="37">
        <v>2099046</v>
      </c>
      <c r="D243" s="38" t="s">
        <v>2936</v>
      </c>
      <c r="E243" s="17">
        <v>16</v>
      </c>
      <c r="F243" s="39"/>
    </row>
    <row r="244" spans="1:402" x14ac:dyDescent="0.25">
      <c r="B244" s="20" t="s">
        <v>2933</v>
      </c>
      <c r="C244" s="31">
        <v>2099045</v>
      </c>
      <c r="D244" s="96" t="s">
        <v>2937</v>
      </c>
      <c r="E244" s="10">
        <v>22</v>
      </c>
      <c r="F244" s="32"/>
    </row>
    <row r="245" spans="1:402" x14ac:dyDescent="0.25">
      <c r="B245" s="83" t="s">
        <v>2932</v>
      </c>
      <c r="C245" s="85">
        <v>2012047</v>
      </c>
      <c r="D245" s="84" t="s">
        <v>2938</v>
      </c>
      <c r="E245" s="86"/>
      <c r="F245" s="87"/>
    </row>
    <row r="246" spans="1:402" s="66" customFormat="1" x14ac:dyDescent="0.25">
      <c r="B246" s="58" t="s">
        <v>2932</v>
      </c>
      <c r="C246" s="59">
        <v>4011011</v>
      </c>
      <c r="D246" s="89" t="s">
        <v>2939</v>
      </c>
      <c r="E246" s="88">
        <v>2</v>
      </c>
      <c r="F246" s="61"/>
    </row>
    <row r="247" spans="1:402" s="90" customFormat="1" x14ac:dyDescent="0.25">
      <c r="A247" s="66"/>
      <c r="B247" s="91" t="s">
        <v>2932</v>
      </c>
      <c r="C247" s="92">
        <v>2012028</v>
      </c>
      <c r="D247" s="93" t="s">
        <v>2940</v>
      </c>
      <c r="E247" s="94">
        <v>38</v>
      </c>
      <c r="F247" s="95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  <c r="GQ247" s="66"/>
      <c r="GR247" s="66"/>
      <c r="GS247" s="66"/>
      <c r="GT247" s="66"/>
      <c r="GU247" s="66"/>
      <c r="GV247" s="66"/>
      <c r="GW247" s="66"/>
      <c r="GX247" s="66"/>
      <c r="GY247" s="66"/>
      <c r="GZ247" s="66"/>
      <c r="HA247" s="66"/>
      <c r="HB247" s="66"/>
      <c r="HC247" s="66"/>
      <c r="HD247" s="66"/>
      <c r="HE247" s="66"/>
      <c r="HF247" s="66"/>
      <c r="HG247" s="66"/>
      <c r="HH247" s="66"/>
      <c r="HI247" s="66"/>
      <c r="HJ247" s="66"/>
      <c r="HK247" s="66"/>
      <c r="HL247" s="66"/>
      <c r="HM247" s="66"/>
      <c r="HN247" s="66"/>
      <c r="HO247" s="66"/>
      <c r="HP247" s="66"/>
      <c r="HQ247" s="66"/>
      <c r="HR247" s="66"/>
      <c r="HS247" s="66"/>
      <c r="HT247" s="66"/>
      <c r="HU247" s="66"/>
      <c r="HV247" s="66"/>
      <c r="HW247" s="66"/>
      <c r="HX247" s="66"/>
      <c r="HY247" s="66"/>
      <c r="HZ247" s="66"/>
      <c r="IA247" s="66"/>
      <c r="IB247" s="66"/>
      <c r="IC247" s="66"/>
      <c r="ID247" s="66"/>
      <c r="IE247" s="66"/>
      <c r="IF247" s="66"/>
      <c r="IG247" s="66"/>
      <c r="IH247" s="66"/>
      <c r="II247" s="66"/>
      <c r="IJ247" s="66"/>
      <c r="IK247" s="66"/>
      <c r="IL247" s="66"/>
      <c r="IM247" s="66"/>
      <c r="IN247" s="66"/>
      <c r="IO247" s="66"/>
      <c r="IP247" s="66"/>
      <c r="IQ247" s="66"/>
      <c r="IR247" s="66"/>
      <c r="IS247" s="66"/>
      <c r="IT247" s="66"/>
      <c r="IU247" s="66"/>
      <c r="IV247" s="66"/>
      <c r="IW247" s="66"/>
      <c r="IX247" s="66"/>
      <c r="IY247" s="66"/>
      <c r="IZ247" s="66"/>
      <c r="JA247" s="66"/>
      <c r="JB247" s="66"/>
      <c r="JC247" s="66"/>
      <c r="JD247" s="66"/>
      <c r="JE247" s="66"/>
      <c r="JF247" s="66"/>
      <c r="JG247" s="66"/>
      <c r="JH247" s="66"/>
      <c r="JI247" s="66"/>
      <c r="JJ247" s="66"/>
      <c r="JK247" s="66"/>
      <c r="JL247" s="66"/>
      <c r="JM247" s="66"/>
      <c r="JN247" s="66"/>
      <c r="JO247" s="66"/>
      <c r="JP247" s="66"/>
      <c r="JQ247" s="66"/>
      <c r="JR247" s="66"/>
      <c r="JS247" s="66"/>
      <c r="JT247" s="66"/>
      <c r="JU247" s="66"/>
      <c r="JV247" s="66"/>
      <c r="JW247" s="66"/>
      <c r="JX247" s="66"/>
      <c r="JY247" s="66"/>
      <c r="JZ247" s="66"/>
      <c r="KA247" s="66"/>
      <c r="KB247" s="66"/>
      <c r="KC247" s="66"/>
      <c r="KD247" s="66"/>
      <c r="KE247" s="66"/>
      <c r="KF247" s="66"/>
      <c r="KG247" s="66"/>
      <c r="KH247" s="66"/>
      <c r="KI247" s="66"/>
      <c r="KJ247" s="66"/>
      <c r="KK247" s="66"/>
      <c r="KL247" s="66"/>
      <c r="KM247" s="66"/>
      <c r="KN247" s="66"/>
      <c r="KO247" s="66"/>
      <c r="KP247" s="66"/>
      <c r="KQ247" s="66"/>
      <c r="KR247" s="66"/>
      <c r="KS247" s="66"/>
      <c r="KT247" s="66"/>
      <c r="KU247" s="66"/>
      <c r="KV247" s="66"/>
      <c r="KW247" s="66"/>
      <c r="KX247" s="66"/>
      <c r="KY247" s="66"/>
      <c r="KZ247" s="66"/>
      <c r="LA247" s="66"/>
      <c r="LB247" s="66"/>
      <c r="LC247" s="66"/>
      <c r="LD247" s="66"/>
      <c r="LE247" s="66"/>
      <c r="LF247" s="66"/>
      <c r="LG247" s="66"/>
      <c r="LH247" s="66"/>
      <c r="LI247" s="66"/>
      <c r="LJ247" s="66"/>
      <c r="LK247" s="66"/>
      <c r="LL247" s="66"/>
      <c r="LM247" s="66"/>
      <c r="LN247" s="66"/>
      <c r="LO247" s="66"/>
      <c r="LP247" s="66"/>
      <c r="LQ247" s="66"/>
      <c r="LR247" s="66"/>
      <c r="LS247" s="66"/>
      <c r="LT247" s="66"/>
      <c r="LU247" s="66"/>
      <c r="LV247" s="66"/>
      <c r="LW247" s="66"/>
      <c r="LX247" s="66"/>
      <c r="LY247" s="66"/>
      <c r="LZ247" s="66"/>
      <c r="MA247" s="66"/>
      <c r="MB247" s="66"/>
      <c r="MC247" s="66"/>
      <c r="MD247" s="66"/>
      <c r="ME247" s="66"/>
      <c r="MF247" s="66"/>
      <c r="MG247" s="66"/>
      <c r="MH247" s="66"/>
      <c r="MI247" s="66"/>
      <c r="MJ247" s="66"/>
      <c r="MK247" s="66"/>
      <c r="ML247" s="66"/>
      <c r="MM247" s="66"/>
      <c r="MN247" s="66"/>
      <c r="MO247" s="66"/>
      <c r="MP247" s="66"/>
      <c r="MQ247" s="66"/>
      <c r="MR247" s="66"/>
      <c r="MS247" s="66"/>
      <c r="MT247" s="66"/>
      <c r="MU247" s="66"/>
      <c r="MV247" s="66"/>
      <c r="MW247" s="66"/>
      <c r="MX247" s="66"/>
      <c r="MY247" s="66"/>
      <c r="MZ247" s="66"/>
      <c r="NA247" s="66"/>
      <c r="NB247" s="66"/>
      <c r="NC247" s="66"/>
      <c r="ND247" s="66"/>
      <c r="NE247" s="66"/>
      <c r="NF247" s="66"/>
      <c r="NG247" s="66"/>
      <c r="NH247" s="66"/>
      <c r="NI247" s="66"/>
      <c r="NJ247" s="66"/>
      <c r="NK247" s="66"/>
      <c r="NL247" s="66"/>
      <c r="NM247" s="66"/>
      <c r="NN247" s="66"/>
      <c r="NO247" s="66"/>
      <c r="NP247" s="66"/>
      <c r="NQ247" s="66"/>
      <c r="NR247" s="66"/>
      <c r="NS247" s="66"/>
      <c r="NT247" s="66"/>
      <c r="NU247" s="66"/>
      <c r="NV247" s="66"/>
      <c r="NW247" s="66"/>
      <c r="NX247" s="66"/>
      <c r="NY247" s="66"/>
      <c r="NZ247" s="66"/>
      <c r="OA247" s="66"/>
      <c r="OB247" s="66"/>
      <c r="OC247" s="66"/>
      <c r="OD247" s="66"/>
      <c r="OE247" s="66"/>
      <c r="OF247" s="66"/>
      <c r="OG247" s="66"/>
      <c r="OH247" s="66"/>
      <c r="OI247" s="66"/>
      <c r="OJ247" s="66"/>
      <c r="OK247" s="66"/>
      <c r="OL247" s="66"/>
    </row>
    <row r="248" spans="1:402" ht="15.75" customHeight="1" x14ac:dyDescent="0.25">
      <c r="B248" s="58" t="s">
        <v>2932</v>
      </c>
      <c r="C248" s="97">
        <v>3016018</v>
      </c>
      <c r="D248" s="96" t="s">
        <v>2941</v>
      </c>
      <c r="E248" s="88">
        <v>114</v>
      </c>
      <c r="F248" s="61"/>
    </row>
    <row r="249" spans="1:402" s="90" customFormat="1" x14ac:dyDescent="0.25">
      <c r="A249" s="66"/>
      <c r="B249" s="91" t="s">
        <v>2932</v>
      </c>
      <c r="C249" s="92">
        <v>2012029</v>
      </c>
      <c r="D249" s="93" t="s">
        <v>2942</v>
      </c>
      <c r="E249" s="94">
        <v>16</v>
      </c>
      <c r="F249" s="95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 spans="1:402" x14ac:dyDescent="0.25">
      <c r="B250" s="58" t="s">
        <v>2943</v>
      </c>
      <c r="C250" s="59" t="s">
        <v>2944</v>
      </c>
      <c r="D250" s="89" t="s">
        <v>2945</v>
      </c>
      <c r="E250" s="88">
        <v>2</v>
      </c>
      <c r="F250" s="61" t="s">
        <v>2946</v>
      </c>
    </row>
    <row r="251" spans="1:402" x14ac:dyDescent="0.25">
      <c r="B251" s="36"/>
      <c r="C251" s="37"/>
      <c r="D251" s="38"/>
      <c r="E251" s="17"/>
      <c r="F251" s="39"/>
    </row>
    <row r="252" spans="1:402" x14ac:dyDescent="0.25">
      <c r="B252" s="20" t="s">
        <v>2913</v>
      </c>
      <c r="C252" s="31" t="s">
        <v>2918</v>
      </c>
      <c r="D252" s="31" t="s">
        <v>2919</v>
      </c>
      <c r="E252" s="10"/>
      <c r="F252" s="32"/>
    </row>
    <row r="253" spans="1:402" x14ac:dyDescent="0.25">
      <c r="B253" s="36" t="s">
        <v>2913</v>
      </c>
      <c r="C253" s="37" t="s">
        <v>2920</v>
      </c>
      <c r="D253" s="38" t="s">
        <v>2921</v>
      </c>
      <c r="E253" s="17"/>
      <c r="F253" s="39"/>
    </row>
    <row r="254" spans="1:402" x14ac:dyDescent="0.25">
      <c r="B254" s="20" t="s">
        <v>2913</v>
      </c>
      <c r="C254" s="31" t="s">
        <v>2916</v>
      </c>
      <c r="D254" s="40" t="s">
        <v>2917</v>
      </c>
      <c r="E254" s="10"/>
      <c r="F254" s="32"/>
    </row>
    <row r="255" spans="1:402" x14ac:dyDescent="0.25">
      <c r="B255" s="36" t="s">
        <v>2913</v>
      </c>
      <c r="C255" s="37" t="s">
        <v>2914</v>
      </c>
      <c r="D255" s="38" t="s">
        <v>2915</v>
      </c>
      <c r="E255" s="17"/>
      <c r="F255" s="39"/>
    </row>
    <row r="2095" spans="1:1" x14ac:dyDescent="0.25">
      <c r="A2095" s="8" t="s">
        <v>728</v>
      </c>
    </row>
    <row r="2096" spans="1:1" x14ac:dyDescent="0.25">
      <c r="A2096" s="8" t="s">
        <v>85</v>
      </c>
    </row>
    <row r="2097" spans="1:1" x14ac:dyDescent="0.25">
      <c r="A2097" s="8" t="s">
        <v>86</v>
      </c>
    </row>
    <row r="2098" spans="1:1" x14ac:dyDescent="0.25">
      <c r="A2098" s="8" t="s">
        <v>118</v>
      </c>
    </row>
    <row r="2099" spans="1:1" x14ac:dyDescent="0.25">
      <c r="A2099" s="8" t="s">
        <v>13</v>
      </c>
    </row>
    <row r="2100" spans="1:1" x14ac:dyDescent="0.25">
      <c r="A2100" s="8" t="s">
        <v>125</v>
      </c>
    </row>
    <row r="2101" spans="1:1" x14ac:dyDescent="0.25">
      <c r="A2101" s="8" t="s">
        <v>127</v>
      </c>
    </row>
    <row r="2102" spans="1:1" x14ac:dyDescent="0.25">
      <c r="A2102" s="8" t="s">
        <v>129</v>
      </c>
    </row>
    <row r="2103" spans="1:1" x14ac:dyDescent="0.25">
      <c r="A2103" s="8" t="s">
        <v>130</v>
      </c>
    </row>
    <row r="2104" spans="1:1" x14ac:dyDescent="0.25">
      <c r="A2104" s="8" t="s">
        <v>713</v>
      </c>
    </row>
    <row r="2105" spans="1:1" x14ac:dyDescent="0.25">
      <c r="A2105" s="8" t="s">
        <v>731</v>
      </c>
    </row>
    <row r="2106" spans="1:1" x14ac:dyDescent="0.25">
      <c r="A2106" s="8" t="s">
        <v>131</v>
      </c>
    </row>
    <row r="2107" spans="1:1" x14ac:dyDescent="0.25">
      <c r="A2107" s="8" t="s">
        <v>132</v>
      </c>
    </row>
    <row r="2108" spans="1:1" x14ac:dyDescent="0.25">
      <c r="A2108" s="8" t="s">
        <v>136</v>
      </c>
    </row>
    <row r="2109" spans="1:1" x14ac:dyDescent="0.25">
      <c r="A2109" s="8" t="s">
        <v>138</v>
      </c>
    </row>
    <row r="2110" spans="1:1" x14ac:dyDescent="0.25">
      <c r="A2110" s="8" t="s">
        <v>714</v>
      </c>
    </row>
    <row r="2111" spans="1:1" x14ac:dyDescent="0.25">
      <c r="A2111" s="8" t="s">
        <v>715</v>
      </c>
    </row>
    <row r="2112" spans="1:1" x14ac:dyDescent="0.25">
      <c r="A2112" s="8" t="s">
        <v>139</v>
      </c>
    </row>
    <row r="2113" spans="1:1" x14ac:dyDescent="0.25">
      <c r="A2113" s="8" t="s">
        <v>868</v>
      </c>
    </row>
    <row r="2114" spans="1:1" x14ac:dyDescent="0.25">
      <c r="A2114" s="8" t="s">
        <v>22</v>
      </c>
    </row>
    <row r="2115" spans="1:1" x14ac:dyDescent="0.25">
      <c r="A2115" s="8" t="s">
        <v>180</v>
      </c>
    </row>
    <row r="2116" spans="1:1" x14ac:dyDescent="0.25">
      <c r="A2116" s="8" t="s">
        <v>741</v>
      </c>
    </row>
    <row r="2117" spans="1:1" x14ac:dyDescent="0.25">
      <c r="A2117" s="8" t="s">
        <v>182</v>
      </c>
    </row>
    <row r="2118" spans="1:1" x14ac:dyDescent="0.25">
      <c r="A2118" s="8" t="s">
        <v>183</v>
      </c>
    </row>
    <row r="2119" spans="1:1" x14ac:dyDescent="0.25">
      <c r="A2119" s="8" t="s">
        <v>14</v>
      </c>
    </row>
    <row r="2120" spans="1:1" x14ac:dyDescent="0.25">
      <c r="A2120" s="8" t="s">
        <v>200</v>
      </c>
    </row>
    <row r="2121" spans="1:1" x14ac:dyDescent="0.25">
      <c r="A2121" s="8" t="s">
        <v>205</v>
      </c>
    </row>
    <row r="2122" spans="1:1" x14ac:dyDescent="0.25">
      <c r="A2122" s="8" t="s">
        <v>746</v>
      </c>
    </row>
    <row r="2123" spans="1:1" x14ac:dyDescent="0.25">
      <c r="A2123" s="8" t="s">
        <v>54</v>
      </c>
    </row>
    <row r="2124" spans="1:1" x14ac:dyDescent="0.25">
      <c r="A2124" s="8" t="s">
        <v>207</v>
      </c>
    </row>
    <row r="2125" spans="1:1" x14ac:dyDescent="0.25">
      <c r="A2125" s="8" t="s">
        <v>218</v>
      </c>
    </row>
    <row r="2126" spans="1:1" x14ac:dyDescent="0.25">
      <c r="A2126" s="8" t="s">
        <v>869</v>
      </c>
    </row>
    <row r="2127" spans="1:1" x14ac:dyDescent="0.25">
      <c r="A2127" s="8" t="s">
        <v>232</v>
      </c>
    </row>
    <row r="2128" spans="1:1" x14ac:dyDescent="0.25">
      <c r="A2128" s="8" t="s">
        <v>716</v>
      </c>
    </row>
    <row r="2129" spans="1:1" x14ac:dyDescent="0.25">
      <c r="A2129" s="8" t="s">
        <v>234</v>
      </c>
    </row>
    <row r="2130" spans="1:1" x14ac:dyDescent="0.25">
      <c r="A2130" s="8" t="s">
        <v>238</v>
      </c>
    </row>
    <row r="2131" spans="1:1" x14ac:dyDescent="0.25">
      <c r="A2131" s="8" t="s">
        <v>39</v>
      </c>
    </row>
    <row r="2132" spans="1:1" x14ac:dyDescent="0.25">
      <c r="A2132" s="8" t="s">
        <v>247</v>
      </c>
    </row>
    <row r="2133" spans="1:1" x14ac:dyDescent="0.25">
      <c r="A2133" s="8" t="s">
        <v>248</v>
      </c>
    </row>
    <row r="2134" spans="1:1" x14ac:dyDescent="0.25">
      <c r="A2134" s="8" t="s">
        <v>249</v>
      </c>
    </row>
    <row r="2135" spans="1:1" x14ac:dyDescent="0.25">
      <c r="A2135" s="8" t="s">
        <v>41</v>
      </c>
    </row>
    <row r="2136" spans="1:1" x14ac:dyDescent="0.25">
      <c r="A2136" s="8" t="s">
        <v>251</v>
      </c>
    </row>
    <row r="2137" spans="1:1" x14ac:dyDescent="0.25">
      <c r="A2137" s="8" t="s">
        <v>254</v>
      </c>
    </row>
    <row r="2138" spans="1:1" x14ac:dyDescent="0.25">
      <c r="A2138" s="8" t="s">
        <v>303</v>
      </c>
    </row>
    <row r="2139" spans="1:1" x14ac:dyDescent="0.25">
      <c r="A2139" s="8" t="s">
        <v>311</v>
      </c>
    </row>
    <row r="2140" spans="1:1" x14ac:dyDescent="0.25">
      <c r="A2140" s="8" t="s">
        <v>788</v>
      </c>
    </row>
    <row r="2141" spans="1:1" x14ac:dyDescent="0.25">
      <c r="A2141" s="8" t="s">
        <v>312</v>
      </c>
    </row>
    <row r="2142" spans="1:1" x14ac:dyDescent="0.25">
      <c r="A2142" s="8" t="s">
        <v>313</v>
      </c>
    </row>
    <row r="2143" spans="1:1" x14ac:dyDescent="0.25">
      <c r="A2143" s="8" t="s">
        <v>66</v>
      </c>
    </row>
    <row r="2144" spans="1:1" x14ac:dyDescent="0.25">
      <c r="A2144" s="8" t="s">
        <v>326</v>
      </c>
    </row>
    <row r="2145" spans="1:1" x14ac:dyDescent="0.25">
      <c r="A2145" s="8" t="s">
        <v>327</v>
      </c>
    </row>
    <row r="2146" spans="1:1" x14ac:dyDescent="0.25">
      <c r="A2146" s="8" t="s">
        <v>717</v>
      </c>
    </row>
    <row r="2147" spans="1:1" x14ac:dyDescent="0.25">
      <c r="A2147" s="8" t="s">
        <v>800</v>
      </c>
    </row>
    <row r="2148" spans="1:1" x14ac:dyDescent="0.25">
      <c r="A2148" s="8" t="s">
        <v>328</v>
      </c>
    </row>
    <row r="2149" spans="1:1" x14ac:dyDescent="0.25">
      <c r="A2149" s="8" t="s">
        <v>330</v>
      </c>
    </row>
    <row r="2150" spans="1:1" x14ac:dyDescent="0.25">
      <c r="A2150" s="8" t="s">
        <v>331</v>
      </c>
    </row>
    <row r="2151" spans="1:1" x14ac:dyDescent="0.25">
      <c r="A2151" s="8" t="s">
        <v>332</v>
      </c>
    </row>
    <row r="2152" spans="1:1" x14ac:dyDescent="0.25">
      <c r="A2152" s="8" t="s">
        <v>335</v>
      </c>
    </row>
    <row r="2153" spans="1:1" x14ac:dyDescent="0.25">
      <c r="A2153" s="8" t="s">
        <v>336</v>
      </c>
    </row>
    <row r="2154" spans="1:1" x14ac:dyDescent="0.25">
      <c r="A2154" s="8" t="s">
        <v>338</v>
      </c>
    </row>
    <row r="2155" spans="1:1" x14ac:dyDescent="0.25">
      <c r="A2155" s="8" t="s">
        <v>339</v>
      </c>
    </row>
    <row r="2156" spans="1:1" x14ac:dyDescent="0.25">
      <c r="A2156" s="8" t="s">
        <v>342</v>
      </c>
    </row>
    <row r="2157" spans="1:1" x14ac:dyDescent="0.25">
      <c r="A2157" s="8" t="s">
        <v>803</v>
      </c>
    </row>
    <row r="2158" spans="1:1" x14ac:dyDescent="0.25">
      <c r="A2158" s="8" t="s">
        <v>344</v>
      </c>
    </row>
    <row r="2159" spans="1:1" x14ac:dyDescent="0.25">
      <c r="A2159" s="8" t="s">
        <v>51</v>
      </c>
    </row>
    <row r="2160" spans="1:1" x14ac:dyDescent="0.25">
      <c r="A2160" s="8" t="s">
        <v>354</v>
      </c>
    </row>
    <row r="2161" spans="1:1" x14ac:dyDescent="0.25">
      <c r="A2161" s="8" t="s">
        <v>356</v>
      </c>
    </row>
    <row r="2162" spans="1:1" x14ac:dyDescent="0.25">
      <c r="A2162" s="8" t="s">
        <v>357</v>
      </c>
    </row>
    <row r="2163" spans="1:1" x14ac:dyDescent="0.25">
      <c r="A2163" s="8" t="s">
        <v>45</v>
      </c>
    </row>
    <row r="2164" spans="1:1" x14ac:dyDescent="0.25">
      <c r="A2164" s="8" t="s">
        <v>361</v>
      </c>
    </row>
    <row r="2165" spans="1:1" x14ac:dyDescent="0.25">
      <c r="A2165" s="8" t="s">
        <v>362</v>
      </c>
    </row>
    <row r="2166" spans="1:1" x14ac:dyDescent="0.25">
      <c r="A2166" s="8" t="s">
        <v>363</v>
      </c>
    </row>
    <row r="2167" spans="1:1" x14ac:dyDescent="0.25">
      <c r="A2167" s="8" t="s">
        <v>806</v>
      </c>
    </row>
    <row r="2168" spans="1:1" x14ac:dyDescent="0.25">
      <c r="A2168" s="8" t="s">
        <v>364</v>
      </c>
    </row>
    <row r="2169" spans="1:1" x14ac:dyDescent="0.25">
      <c r="A2169" s="8" t="s">
        <v>365</v>
      </c>
    </row>
    <row r="2170" spans="1:1" x14ac:dyDescent="0.25">
      <c r="A2170" s="8" t="s">
        <v>72</v>
      </c>
    </row>
    <row r="2171" spans="1:1" x14ac:dyDescent="0.25">
      <c r="A2171" s="8" t="s">
        <v>882</v>
      </c>
    </row>
    <row r="2172" spans="1:1" x14ac:dyDescent="0.25">
      <c r="A2172" s="8" t="s">
        <v>814</v>
      </c>
    </row>
    <row r="2173" spans="1:1" x14ac:dyDescent="0.25">
      <c r="A2173" s="8" t="s">
        <v>815</v>
      </c>
    </row>
    <row r="2174" spans="1:1" x14ac:dyDescent="0.25">
      <c r="A2174" s="8" t="s">
        <v>883</v>
      </c>
    </row>
    <row r="2175" spans="1:1" x14ac:dyDescent="0.25">
      <c r="A2175" s="8" t="s">
        <v>718</v>
      </c>
    </row>
    <row r="2176" spans="1:1" x14ac:dyDescent="0.25">
      <c r="A2176" s="8" t="s">
        <v>24</v>
      </c>
    </row>
    <row r="2177" spans="1:1" x14ac:dyDescent="0.25">
      <c r="A2177" s="8" t="s">
        <v>433</v>
      </c>
    </row>
    <row r="2178" spans="1:1" x14ac:dyDescent="0.25">
      <c r="A2178" s="8" t="s">
        <v>441</v>
      </c>
    </row>
    <row r="2179" spans="1:1" x14ac:dyDescent="0.25">
      <c r="A2179" s="8" t="s">
        <v>443</v>
      </c>
    </row>
    <row r="2180" spans="1:1" x14ac:dyDescent="0.25">
      <c r="A2180" s="8" t="s">
        <v>445</v>
      </c>
    </row>
    <row r="2181" spans="1:1" x14ac:dyDescent="0.25">
      <c r="A2181" s="8" t="s">
        <v>446</v>
      </c>
    </row>
    <row r="2182" spans="1:1" x14ac:dyDescent="0.25">
      <c r="A2182" s="8" t="s">
        <v>447</v>
      </c>
    </row>
    <row r="2183" spans="1:1" x14ac:dyDescent="0.25">
      <c r="A2183" s="8" t="s">
        <v>448</v>
      </c>
    </row>
    <row r="2184" spans="1:1" x14ac:dyDescent="0.25">
      <c r="A2184" s="8" t="s">
        <v>452</v>
      </c>
    </row>
    <row r="2185" spans="1:1" x14ac:dyDescent="0.25">
      <c r="A2185" s="8" t="s">
        <v>454</v>
      </c>
    </row>
    <row r="2186" spans="1:1" x14ac:dyDescent="0.25">
      <c r="A2186" s="8" t="s">
        <v>455</v>
      </c>
    </row>
    <row r="2187" spans="1:1" x14ac:dyDescent="0.25">
      <c r="A2187" s="8" t="s">
        <v>719</v>
      </c>
    </row>
    <row r="2188" spans="1:1" x14ac:dyDescent="0.25">
      <c r="A2188" s="8" t="s">
        <v>458</v>
      </c>
    </row>
    <row r="2189" spans="1:1" x14ac:dyDescent="0.25">
      <c r="A2189" s="8" t="s">
        <v>459</v>
      </c>
    </row>
    <row r="2190" spans="1:1" x14ac:dyDescent="0.25">
      <c r="A2190" s="8" t="s">
        <v>460</v>
      </c>
    </row>
    <row r="2191" spans="1:1" x14ac:dyDescent="0.25">
      <c r="A2191" s="8" t="s">
        <v>461</v>
      </c>
    </row>
    <row r="2192" spans="1:1" x14ac:dyDescent="0.25">
      <c r="A2192" s="8" t="s">
        <v>463</v>
      </c>
    </row>
    <row r="2193" spans="1:1" x14ac:dyDescent="0.25">
      <c r="A2193" s="8" t="s">
        <v>464</v>
      </c>
    </row>
    <row r="2194" spans="1:1" x14ac:dyDescent="0.25">
      <c r="A2194" s="8" t="s">
        <v>476</v>
      </c>
    </row>
    <row r="2195" spans="1:1" x14ac:dyDescent="0.25">
      <c r="A2195" s="8" t="s">
        <v>477</v>
      </c>
    </row>
    <row r="2196" spans="1:1" x14ac:dyDescent="0.25">
      <c r="A2196" s="8" t="s">
        <v>480</v>
      </c>
    </row>
    <row r="2197" spans="1:1" x14ac:dyDescent="0.25">
      <c r="A2197" s="8" t="s">
        <v>844</v>
      </c>
    </row>
    <row r="2198" spans="1:1" x14ac:dyDescent="0.25">
      <c r="A2198" s="8" t="s">
        <v>481</v>
      </c>
    </row>
    <row r="2199" spans="1:1" x14ac:dyDescent="0.25">
      <c r="A2199" s="8" t="s">
        <v>531</v>
      </c>
    </row>
    <row r="2200" spans="1:1" x14ac:dyDescent="0.25">
      <c r="A2200" s="8" t="s">
        <v>532</v>
      </c>
    </row>
    <row r="2201" spans="1:1" x14ac:dyDescent="0.25">
      <c r="A2201" s="8" t="s">
        <v>551</v>
      </c>
    </row>
    <row r="2202" spans="1:1" x14ac:dyDescent="0.25">
      <c r="A2202" s="8" t="s">
        <v>552</v>
      </c>
    </row>
    <row r="2203" spans="1:1" x14ac:dyDescent="0.25">
      <c r="A2203" s="8" t="s">
        <v>553</v>
      </c>
    </row>
    <row r="2204" spans="1:1" x14ac:dyDescent="0.25">
      <c r="A2204" s="8" t="s">
        <v>554</v>
      </c>
    </row>
    <row r="2205" spans="1:1" x14ac:dyDescent="0.25">
      <c r="A2205" s="8" t="s">
        <v>556</v>
      </c>
    </row>
    <row r="2206" spans="1:1" x14ac:dyDescent="0.25">
      <c r="A2206" s="8" t="s">
        <v>557</v>
      </c>
    </row>
    <row r="2207" spans="1:1" x14ac:dyDescent="0.25">
      <c r="A2207" s="8" t="s">
        <v>858</v>
      </c>
    </row>
    <row r="2208" spans="1:1" x14ac:dyDescent="0.25">
      <c r="A2208" s="8" t="s">
        <v>859</v>
      </c>
    </row>
    <row r="2209" spans="1:1" x14ac:dyDescent="0.25">
      <c r="A2209" s="8" t="s">
        <v>37</v>
      </c>
    </row>
    <row r="2210" spans="1:1" x14ac:dyDescent="0.25">
      <c r="A2210" s="8" t="s">
        <v>566</v>
      </c>
    </row>
    <row r="2211" spans="1:1" x14ac:dyDescent="0.25">
      <c r="A2211" s="8" t="s">
        <v>571</v>
      </c>
    </row>
    <row r="2212" spans="1:1" x14ac:dyDescent="0.25">
      <c r="A2212" s="8" t="s">
        <v>863</v>
      </c>
    </row>
    <row r="2213" spans="1:1" x14ac:dyDescent="0.25">
      <c r="A2213" s="8" t="s">
        <v>618</v>
      </c>
    </row>
    <row r="2214" spans="1:1" x14ac:dyDescent="0.25">
      <c r="A2214" s="8" t="s">
        <v>619</v>
      </c>
    </row>
    <row r="2215" spans="1:1" x14ac:dyDescent="0.25">
      <c r="A2215" s="8" t="s">
        <v>622</v>
      </c>
    </row>
    <row r="2216" spans="1:1" x14ac:dyDescent="0.25">
      <c r="A2216" s="8" t="s">
        <v>866</v>
      </c>
    </row>
    <row r="2217" spans="1:1" x14ac:dyDescent="0.25">
      <c r="A2217" s="8" t="s">
        <v>720</v>
      </c>
    </row>
    <row r="2218" spans="1:1" x14ac:dyDescent="0.25">
      <c r="A2218" s="8" t="s">
        <v>52</v>
      </c>
    </row>
    <row r="2219" spans="1:1" x14ac:dyDescent="0.25">
      <c r="A2219" s="8" t="s">
        <v>626</v>
      </c>
    </row>
  </sheetData>
  <protectedRanges>
    <protectedRange sqref="B1:F1" name="Range4"/>
    <protectedRange sqref="B241:F255" name="Non Stock Items"/>
    <protectedRange sqref="E9:F12 F13:F14 E166:F187 E201:F206 E229:F238 B201:C206 B229:C238 E209:F226 B209:C226 B9:C18 E13:E18 E21:F40 B21:C40 B166:C187 B88:C163 B190:C198 E190:F198 E43:F49 B43:C52 F50:F52 E51:E52 E70:F85 B70:C85 F88:F163 E88:E93 E95:E163" name="Stock Items"/>
    <protectedRange sqref="C2:C3 C5:D5 F2:F5" name="Header"/>
    <protectedRange sqref="B60:C69 F60:F69 E60:E65 E68:E69" name="Stock Items_1"/>
    <protectedRange sqref="F57:F58 E57 E53:F56 B53:C58" name="Stock Items_2"/>
    <protectedRange sqref="B59:C59 E59:F59" name="Stock Items_3"/>
  </protectedRanges>
  <mergeCells count="14">
    <mergeCell ref="B19:F19"/>
    <mergeCell ref="B41:F41"/>
    <mergeCell ref="B86:F86"/>
    <mergeCell ref="B1:F1"/>
    <mergeCell ref="C2:D2"/>
    <mergeCell ref="B3:B4"/>
    <mergeCell ref="C3:D4"/>
    <mergeCell ref="B6:F6"/>
    <mergeCell ref="B164:F164"/>
    <mergeCell ref="B239:F239"/>
    <mergeCell ref="B227:F227"/>
    <mergeCell ref="B207:F207"/>
    <mergeCell ref="B199:F199"/>
    <mergeCell ref="B188:F188"/>
  </mergeCells>
  <phoneticPr fontId="9" type="noConversion"/>
  <conditionalFormatting sqref="C9:C18 C190:C198">
    <cfRule type="expression" dxfId="27" priority="225">
      <formula>D9=""</formula>
    </cfRule>
  </conditionalFormatting>
  <conditionalFormatting sqref="C21:C40">
    <cfRule type="expression" dxfId="26" priority="18">
      <formula>D21=""</formula>
    </cfRule>
  </conditionalFormatting>
  <conditionalFormatting sqref="C43:C85">
    <cfRule type="expression" dxfId="25" priority="2">
      <formula>D43=""</formula>
    </cfRule>
  </conditionalFormatting>
  <conditionalFormatting sqref="C88:C163">
    <cfRule type="expression" dxfId="24" priority="164">
      <formula>D88=""</formula>
    </cfRule>
  </conditionalFormatting>
  <conditionalFormatting sqref="C166:C187">
    <cfRule type="expression" dxfId="23" priority="156">
      <formula>D166=""</formula>
    </cfRule>
  </conditionalFormatting>
  <conditionalFormatting sqref="C209:C226">
    <cfRule type="expression" dxfId="22" priority="13">
      <formula>D209=""</formula>
    </cfRule>
  </conditionalFormatting>
  <conditionalFormatting sqref="C229:C238">
    <cfRule type="expression" dxfId="21" priority="132">
      <formula>D229=""</formula>
    </cfRule>
  </conditionalFormatting>
  <conditionalFormatting sqref="C241:C255">
    <cfRule type="expression" dxfId="20" priority="120">
      <formula>D241=""</formula>
    </cfRule>
  </conditionalFormatting>
  <conditionalFormatting sqref="E9:E18 E43:E47 E51:E56 E88:E92 E95:E163 E190:E198">
    <cfRule type="expression" dxfId="17" priority="114">
      <formula>D9=""</formula>
    </cfRule>
  </conditionalFormatting>
  <conditionalFormatting sqref="E21:E40">
    <cfRule type="expression" dxfId="16" priority="19">
      <formula>D21=""</formula>
    </cfRule>
  </conditionalFormatting>
  <conditionalFormatting sqref="E48">
    <cfRule type="expression" dxfId="13" priority="231">
      <formula>D50=""</formula>
    </cfRule>
  </conditionalFormatting>
  <conditionalFormatting sqref="E49">
    <cfRule type="expression" dxfId="12" priority="8">
      <formula>D49=""</formula>
    </cfRule>
  </conditionalFormatting>
  <conditionalFormatting sqref="E59:E64">
    <cfRule type="expression" dxfId="9" priority="1">
      <formula>D59=""</formula>
    </cfRule>
  </conditionalFormatting>
  <conditionalFormatting sqref="E67:E85">
    <cfRule type="expression" dxfId="8" priority="3">
      <formula>D67=""</formula>
    </cfRule>
  </conditionalFormatting>
  <conditionalFormatting sqref="E93">
    <cfRule type="expression" dxfId="5" priority="237">
      <formula>D94=""</formula>
    </cfRule>
  </conditionalFormatting>
  <conditionalFormatting sqref="E166:E187">
    <cfRule type="expression" dxfId="4" priority="90">
      <formula>D166=""</formula>
    </cfRule>
  </conditionalFormatting>
  <conditionalFormatting sqref="E201:E206">
    <cfRule type="expression" dxfId="3" priority="78">
      <formula>D201=""</formula>
    </cfRule>
  </conditionalFormatting>
  <conditionalFormatting sqref="E209:E226">
    <cfRule type="expression" dxfId="2" priority="11">
      <formula>D209=""</formula>
    </cfRule>
  </conditionalFormatting>
  <conditionalFormatting sqref="E229:E238">
    <cfRule type="expression" dxfId="1" priority="69">
      <formula>D229=""</formula>
    </cfRule>
  </conditionalFormatting>
  <conditionalFormatting sqref="E241:E255">
    <cfRule type="expression" dxfId="0" priority="121">
      <formula>D241=""</formula>
    </cfRule>
  </conditionalFormatting>
  <dataValidations count="2">
    <dataValidation type="whole" allowBlank="1" showInputMessage="1" showErrorMessage="1" errorTitle="No Text" error="Input whole numbers only. Write text description in adjecent cell to the right." sqref="E201:E206 E229:E238 E166:E187 E209:E226 E9:E18 E21:E40 E190:E198 E59:E65 E51:E57 E43:E49 E67:E85 E88:E93 E95:E163" xr:uid="{00000000-0002-0000-0100-000000000000}">
      <formula1>0</formula1>
      <formula2>100000</formula2>
    </dataValidation>
    <dataValidation type="list" allowBlank="1" showInputMessage="1" showErrorMessage="1" sqref="C209:C226 C229:C238 C21:C40 C166:C187 C201:C206 C9:C18 C88:C163 C190:C198 C43:C85" xr:uid="{00000000-0002-0000-0100-000001000000}">
      <formula1>INDIRECT(B9)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8" id="{AFBB88E5-F27E-4100-ADB2-1EB1E4B0F3CA}">
            <xm:f>E9&lt;VLOOKUP(C9,'Product List'!$B:$M,12,FALSE)</xm:f>
            <x14:dxf>
              <font>
                <b/>
                <i val="0"/>
                <color rgb="FFFF0000"/>
              </font>
            </x14:dxf>
          </x14:cfRule>
          <x14:cfRule type="expression" priority="119" id="{D67317D9-FEBA-4143-A87D-B49A48661A98}">
            <xm:f>MOD(E9,VLOOKUP(C9,'Product List'!$B:$N,13,FALSE))&gt;0</xm:f>
            <x14:dxf>
              <font>
                <b/>
                <i val="0"/>
                <color rgb="FFFF0000"/>
              </font>
            </x14:dxf>
          </x14:cfRule>
          <xm:sqref>E9:E18 E21:E40 E43:E47 E51:E52 E70:E85 E88:E92 E95:E163 E166:E187 E190:E198 E201:E206 E229:E238</xm:sqref>
        </x14:conditionalFormatting>
        <x14:conditionalFormatting xmlns:xm="http://schemas.microsoft.com/office/excel/2006/main">
          <x14:cfRule type="expression" priority="228" id="{AFBB88E5-F27E-4100-ADB2-1EB1E4B0F3CA}">
            <xm:f>E48&lt;VLOOKUP(C50,'Product List'!$B:$M,12,FALSE)</xm:f>
            <x14:dxf>
              <font>
                <b/>
                <i val="0"/>
                <color rgb="FFFF0000"/>
              </font>
            </x14:dxf>
          </x14:cfRule>
          <x14:cfRule type="expression" priority="229" id="{D67317D9-FEBA-4143-A87D-B49A48661A98}">
            <xm:f>MOD(E48,VLOOKUP(C50,'Product List'!$B:$N,13,FALSE))&gt;0</xm:f>
            <x14:dxf>
              <font>
                <b/>
                <i val="0"/>
                <color rgb="FFFF0000"/>
              </font>
            </x14:dxf>
          </x14:cfRule>
          <xm:sqref>E48</xm:sqref>
        </x14:conditionalFormatting>
        <x14:conditionalFormatting xmlns:xm="http://schemas.microsoft.com/office/excel/2006/main">
          <x14:cfRule type="expression" priority="9" id="{80D0926F-10E4-4EC2-872C-7D9CA53F9EF6}">
            <xm:f>E49&lt;VLOOKUP(C49,'Product List'!$B:$M,12,FALSE)</xm:f>
            <x14:dxf>
              <font>
                <b/>
                <i val="0"/>
                <color rgb="FFFF0000"/>
              </font>
            </x14:dxf>
          </x14:cfRule>
          <x14:cfRule type="expression" priority="10" id="{BB194F1C-48A8-4E8D-8ADD-FF8B144CF4BC}">
            <xm:f>MOD(E49,VLOOKUP(C49,'Product List'!$B:$N,13,FALSE))&gt;0</xm:f>
            <x14:dxf>
              <font>
                <b/>
                <i val="0"/>
                <color rgb="FFFF0000"/>
              </font>
            </x14:dxf>
          </x14:cfRule>
          <xm:sqref>E49</xm:sqref>
        </x14:conditionalFormatting>
        <x14:conditionalFormatting xmlns:xm="http://schemas.microsoft.com/office/excel/2006/main">
          <x14:cfRule type="expression" priority="234" id="{AFBB88E5-F27E-4100-ADB2-1EB1E4B0F3CA}">
            <xm:f>E93&lt;VLOOKUP(C94,'Product List'!$B:$M,12,FALSE)</xm:f>
            <x14:dxf>
              <font>
                <b/>
                <i val="0"/>
                <color rgb="FFFF0000"/>
              </font>
            </x14:dxf>
          </x14:cfRule>
          <x14:cfRule type="expression" priority="235" id="{D67317D9-FEBA-4143-A87D-B49A48661A98}">
            <xm:f>MOD(E93,VLOOKUP(C94,'Product List'!$B:$N,13,FALSE))&gt;0</xm:f>
            <x14:dxf>
              <font>
                <b/>
                <i val="0"/>
                <color rgb="FFFF0000"/>
              </font>
            </x14:dxf>
          </x14:cfRule>
          <xm:sqref>E93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'Product List'!$C$2179:$DD$2179</xm:f>
          </x14:formula1>
          <xm:sqref>B209:B226 B201:B206 B166:B187 B21:B40 B229:B238 B9:B18 B88:B163 B190:B198 B43:B52 B70:B85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2334"/>
  <sheetViews>
    <sheetView zoomScale="85" zoomScaleNormal="85" workbookViewId="0">
      <pane ySplit="3" topLeftCell="A2195" activePane="bottomLeft" state="frozen"/>
      <selection pane="bottomLeft" activeCell="CX2218" sqref="CX2218"/>
    </sheetView>
  </sheetViews>
  <sheetFormatPr defaultRowHeight="15" x14ac:dyDescent="0.25"/>
  <cols>
    <col min="1" max="1" width="23.28515625" customWidth="1"/>
    <col min="2" max="2" width="31.28515625" customWidth="1"/>
    <col min="3" max="3" width="25.140625" bestFit="1" customWidth="1"/>
    <col min="4" max="4" width="43.140625" customWidth="1"/>
    <col min="5" max="5" width="19.7109375" bestFit="1" customWidth="1"/>
    <col min="6" max="6" width="13.5703125" bestFit="1" customWidth="1"/>
    <col min="7" max="7" width="14.140625" customWidth="1"/>
    <col min="8" max="8" width="12.5703125" bestFit="1" customWidth="1"/>
    <col min="9" max="9" width="15.7109375" bestFit="1" customWidth="1"/>
    <col min="10" max="10" width="21.85546875" bestFit="1" customWidth="1"/>
    <col min="11" max="11" width="24" bestFit="1" customWidth="1"/>
    <col min="12" max="12" width="16.28515625" bestFit="1" customWidth="1"/>
    <col min="13" max="13" width="14.28515625" bestFit="1" customWidth="1"/>
    <col min="14" max="14" width="19.140625" bestFit="1" customWidth="1"/>
    <col min="15" max="15" width="21" bestFit="1" customWidth="1"/>
    <col min="16" max="16" width="18" bestFit="1" customWidth="1"/>
    <col min="17" max="18" width="19.7109375" bestFit="1" customWidth="1"/>
    <col min="19" max="19" width="19.7109375" customWidth="1"/>
    <col min="20" max="20" width="18.5703125" bestFit="1" customWidth="1"/>
    <col min="21" max="21" width="22.140625" bestFit="1" customWidth="1"/>
    <col min="22" max="22" width="23.5703125" bestFit="1" customWidth="1"/>
    <col min="23" max="23" width="18.85546875" bestFit="1" customWidth="1"/>
    <col min="24" max="24" width="18.85546875" customWidth="1"/>
    <col min="25" max="25" width="25" bestFit="1" customWidth="1"/>
    <col min="26" max="26" width="15" bestFit="1" customWidth="1"/>
    <col min="27" max="27" width="23.42578125" bestFit="1" customWidth="1"/>
    <col min="28" max="28" width="24.7109375" bestFit="1" customWidth="1"/>
    <col min="29" max="29" width="12.42578125" bestFit="1" customWidth="1"/>
    <col min="30" max="30" width="16.28515625" bestFit="1" customWidth="1"/>
    <col min="31" max="31" width="14.42578125" bestFit="1" customWidth="1"/>
    <col min="32" max="32" width="16.42578125" bestFit="1" customWidth="1"/>
    <col min="33" max="33" width="21.5703125" bestFit="1" customWidth="1"/>
    <col min="34" max="34" width="21.5703125" customWidth="1"/>
    <col min="35" max="35" width="15.28515625" bestFit="1" customWidth="1"/>
    <col min="36" max="36" width="13.28515625" bestFit="1" customWidth="1"/>
    <col min="37" max="37" width="16.28515625" customWidth="1"/>
    <col min="38" max="38" width="20.140625" bestFit="1" customWidth="1"/>
    <col min="39" max="39" width="16.85546875" bestFit="1" customWidth="1"/>
    <col min="40" max="40" width="21" bestFit="1" customWidth="1"/>
    <col min="41" max="41" width="17" customWidth="1"/>
    <col min="42" max="42" width="16.5703125" bestFit="1" customWidth="1"/>
    <col min="43" max="43" width="19.42578125" bestFit="1" customWidth="1"/>
    <col min="44" max="44" width="20.28515625" bestFit="1" customWidth="1"/>
    <col min="45" max="45" width="20.28515625" customWidth="1"/>
    <col min="46" max="46" width="17.85546875" bestFit="1" customWidth="1"/>
    <col min="47" max="47" width="16" bestFit="1" customWidth="1"/>
    <col min="48" max="48" width="19.42578125" bestFit="1" customWidth="1"/>
    <col min="49" max="49" width="16.42578125" bestFit="1" customWidth="1"/>
    <col min="50" max="50" width="19.42578125" bestFit="1" customWidth="1"/>
    <col min="51" max="51" width="19.42578125" customWidth="1"/>
    <col min="52" max="52" width="19.28515625" bestFit="1" customWidth="1"/>
    <col min="53" max="53" width="19" bestFit="1" customWidth="1"/>
    <col min="54" max="54" width="21.42578125" bestFit="1" customWidth="1"/>
    <col min="55" max="55" width="20.85546875" bestFit="1" customWidth="1"/>
    <col min="56" max="56" width="16.28515625" bestFit="1" customWidth="1"/>
    <col min="57" max="57" width="16.140625" bestFit="1" customWidth="1"/>
    <col min="58" max="58" width="11" bestFit="1" customWidth="1"/>
    <col min="59" max="59" width="14.7109375" bestFit="1" customWidth="1"/>
    <col min="60" max="60" width="14.7109375" customWidth="1"/>
    <col min="61" max="61" width="11.5703125" bestFit="1" customWidth="1"/>
    <col min="62" max="62" width="13.85546875" bestFit="1" customWidth="1"/>
    <col min="63" max="63" width="22.28515625" bestFit="1" customWidth="1"/>
    <col min="64" max="64" width="15.28515625" bestFit="1" customWidth="1"/>
    <col min="65" max="65" width="16.85546875" bestFit="1" customWidth="1"/>
    <col min="66" max="66" width="16.28515625" bestFit="1" customWidth="1"/>
    <col min="67" max="67" width="14.5703125" bestFit="1" customWidth="1"/>
    <col min="68" max="68" width="31" bestFit="1" customWidth="1"/>
    <col min="69" max="69" width="21.5703125" bestFit="1" customWidth="1"/>
    <col min="70" max="70" width="30.28515625" bestFit="1" customWidth="1"/>
    <col min="71" max="71" width="10" bestFit="1" customWidth="1"/>
    <col min="72" max="72" width="25" bestFit="1" customWidth="1"/>
    <col min="73" max="73" width="18.42578125" bestFit="1" customWidth="1"/>
    <col min="74" max="74" width="12.140625" bestFit="1" customWidth="1"/>
    <col min="75" max="75" width="12.140625" customWidth="1"/>
    <col min="76" max="76" width="31" bestFit="1" customWidth="1"/>
    <col min="77" max="77" width="23.140625" bestFit="1" customWidth="1"/>
    <col min="78" max="78" width="16.140625" bestFit="1" customWidth="1"/>
    <col min="79" max="79" width="21.42578125" bestFit="1" customWidth="1"/>
    <col min="80" max="80" width="16.7109375" bestFit="1" customWidth="1"/>
    <col min="81" max="81" width="18.5703125" bestFit="1" customWidth="1"/>
    <col min="82" max="82" width="17.7109375" bestFit="1" customWidth="1"/>
    <col min="83" max="83" width="19" bestFit="1" customWidth="1"/>
    <col min="84" max="84" width="25.42578125" bestFit="1" customWidth="1"/>
    <col min="85" max="85" width="25.42578125" customWidth="1"/>
    <col min="86" max="86" width="22.28515625" bestFit="1" customWidth="1"/>
    <col min="87" max="87" width="20.140625" bestFit="1" customWidth="1"/>
    <col min="88" max="88" width="18.140625" bestFit="1" customWidth="1"/>
    <col min="89" max="89" width="22.28515625" bestFit="1" customWidth="1"/>
    <col min="90" max="90" width="20.140625" bestFit="1" customWidth="1"/>
    <col min="91" max="91" width="19.7109375" bestFit="1" customWidth="1"/>
    <col min="92" max="92" width="12.85546875" bestFit="1" customWidth="1"/>
    <col min="93" max="93" width="12.85546875" customWidth="1"/>
    <col min="94" max="94" width="16.28515625" customWidth="1"/>
    <col min="95" max="95" width="20.5703125" bestFit="1" customWidth="1"/>
    <col min="96" max="96" width="19.5703125" bestFit="1" customWidth="1"/>
    <col min="97" max="97" width="15" bestFit="1" customWidth="1"/>
    <col min="98" max="98" width="20.42578125" bestFit="1" customWidth="1"/>
    <col min="99" max="99" width="15.5703125" bestFit="1" customWidth="1"/>
    <col min="100" max="100" width="19.140625" bestFit="1" customWidth="1"/>
    <col min="101" max="101" width="15.42578125" bestFit="1" customWidth="1"/>
    <col min="102" max="102" width="21" bestFit="1" customWidth="1"/>
    <col min="103" max="103" width="9.140625" customWidth="1"/>
    <col min="104" max="104" width="20.7109375" bestFit="1" customWidth="1"/>
    <col min="105" max="105" width="17.28515625" bestFit="1" customWidth="1"/>
    <col min="106" max="106" width="25.5703125" bestFit="1" customWidth="1"/>
    <col min="107" max="107" width="19.7109375" bestFit="1" customWidth="1"/>
    <col min="108" max="108" width="17.28515625" bestFit="1" customWidth="1"/>
    <col min="109" max="109" width="26.140625" bestFit="1" customWidth="1"/>
    <col min="110" max="110" width="26.140625" customWidth="1"/>
    <col min="111" max="111" width="17.140625" bestFit="1" customWidth="1"/>
    <col min="112" max="112" width="8.5703125" bestFit="1" customWidth="1"/>
    <col min="113" max="113" width="18.85546875" bestFit="1" customWidth="1"/>
    <col min="114" max="114" width="12" bestFit="1" customWidth="1"/>
    <col min="115" max="115" width="21" bestFit="1" customWidth="1"/>
    <col min="116" max="116" width="17.85546875" bestFit="1" customWidth="1"/>
    <col min="117" max="118" width="16.85546875" bestFit="1" customWidth="1"/>
    <col min="120" max="120" width="5.28515625" bestFit="1" customWidth="1"/>
  </cols>
  <sheetData>
    <row r="1" spans="1:15" x14ac:dyDescent="0.25">
      <c r="A1" s="71" t="s">
        <v>82</v>
      </c>
      <c r="B1" s="71" t="s">
        <v>83</v>
      </c>
      <c r="C1" s="71" t="s">
        <v>82</v>
      </c>
      <c r="D1" s="71" t="s">
        <v>84</v>
      </c>
      <c r="E1" t="s">
        <v>633</v>
      </c>
      <c r="F1" t="s">
        <v>632</v>
      </c>
      <c r="G1" t="s">
        <v>628</v>
      </c>
      <c r="H1" t="s">
        <v>629</v>
      </c>
      <c r="I1" t="s">
        <v>630</v>
      </c>
      <c r="J1" t="s">
        <v>631</v>
      </c>
      <c r="L1" t="s">
        <v>637</v>
      </c>
      <c r="M1" t="s">
        <v>721</v>
      </c>
      <c r="N1" t="s">
        <v>722</v>
      </c>
      <c r="O1" t="s">
        <v>723</v>
      </c>
    </row>
    <row r="2" spans="1:15" x14ac:dyDescent="0.25">
      <c r="A2" s="72"/>
      <c r="B2" s="72"/>
      <c r="C2" s="72"/>
      <c r="D2" s="72"/>
      <c r="F2">
        <v>1000000000</v>
      </c>
      <c r="G2">
        <v>10000000</v>
      </c>
      <c r="H2">
        <v>100000</v>
      </c>
      <c r="I2">
        <v>10000</v>
      </c>
    </row>
    <row r="3" spans="1:15" x14ac:dyDescent="0.25">
      <c r="A3" s="8" t="s">
        <v>1011</v>
      </c>
      <c r="B3" s="8" t="s">
        <v>1035</v>
      </c>
      <c r="C3" s="8" t="s">
        <v>1011</v>
      </c>
      <c r="D3" s="8" t="s">
        <v>1479</v>
      </c>
      <c r="E3">
        <f t="shared" ref="E3:E66" si="0">IF(F3="",J3,IF(G3="",F3*$F$2+K3,IF(H3="",F3*$F$2+G3*$G$2+K3,IF(I3="",F3*$F$2+G3*$G$2+H3*$H$2+K3,F3*$F$2+G3*$G$2+H3*$H$2+I3*$I$2+K3))))</f>
        <v>4000000000</v>
      </c>
      <c r="F3">
        <v>4</v>
      </c>
      <c r="J3">
        <v>20000000001</v>
      </c>
    </row>
    <row r="4" spans="1:15" x14ac:dyDescent="0.25">
      <c r="A4" s="8" t="s">
        <v>1012</v>
      </c>
      <c r="B4" s="8" t="s">
        <v>1427</v>
      </c>
      <c r="C4" s="8" t="s">
        <v>1012</v>
      </c>
      <c r="D4" s="8" t="s">
        <v>1480</v>
      </c>
      <c r="E4">
        <f t="shared" si="0"/>
        <v>4000000001</v>
      </c>
      <c r="F4">
        <v>4</v>
      </c>
      <c r="J4">
        <v>20000000001</v>
      </c>
      <c r="K4">
        <v>1</v>
      </c>
    </row>
    <row r="5" spans="1:15" x14ac:dyDescent="0.25">
      <c r="A5" s="8" t="s">
        <v>85</v>
      </c>
      <c r="B5" s="8" t="s">
        <v>2888</v>
      </c>
      <c r="C5" s="8" t="s">
        <v>85</v>
      </c>
      <c r="D5" s="8" t="s">
        <v>1481</v>
      </c>
      <c r="E5">
        <f t="shared" si="0"/>
        <v>2000000002</v>
      </c>
      <c r="F5">
        <v>2</v>
      </c>
      <c r="J5">
        <f>J4+1</f>
        <v>20000000002</v>
      </c>
      <c r="K5">
        <v>2</v>
      </c>
    </row>
    <row r="6" spans="1:15" x14ac:dyDescent="0.25">
      <c r="A6" s="8" t="s">
        <v>85</v>
      </c>
      <c r="B6" s="8" t="s">
        <v>913</v>
      </c>
      <c r="C6" s="8" t="s">
        <v>85</v>
      </c>
      <c r="D6" s="8" t="s">
        <v>1482</v>
      </c>
      <c r="E6">
        <f t="shared" si="0"/>
        <v>2000000003</v>
      </c>
      <c r="F6">
        <v>2</v>
      </c>
      <c r="J6">
        <f t="shared" ref="J6:J69" si="1">J5+1</f>
        <v>20000000003</v>
      </c>
      <c r="K6">
        <v>3</v>
      </c>
    </row>
    <row r="7" spans="1:15" x14ac:dyDescent="0.25">
      <c r="A7" s="8" t="s">
        <v>85</v>
      </c>
      <c r="B7" s="8" t="s">
        <v>1037</v>
      </c>
      <c r="C7" s="8" t="s">
        <v>85</v>
      </c>
      <c r="D7" s="8" t="s">
        <v>1483</v>
      </c>
      <c r="E7">
        <f t="shared" si="0"/>
        <v>2000000004</v>
      </c>
      <c r="F7">
        <v>2</v>
      </c>
      <c r="J7">
        <f t="shared" si="1"/>
        <v>20000000004</v>
      </c>
      <c r="K7">
        <v>4</v>
      </c>
    </row>
    <row r="8" spans="1:15" x14ac:dyDescent="0.25">
      <c r="A8" s="8" t="s">
        <v>86</v>
      </c>
      <c r="B8" s="8">
        <v>2010</v>
      </c>
      <c r="C8" s="8" t="s">
        <v>86</v>
      </c>
      <c r="D8" s="8" t="s">
        <v>1484</v>
      </c>
      <c r="E8">
        <f t="shared" si="0"/>
        <v>4000000005</v>
      </c>
      <c r="F8">
        <v>4</v>
      </c>
      <c r="J8">
        <f t="shared" si="1"/>
        <v>20000000005</v>
      </c>
      <c r="K8">
        <v>5</v>
      </c>
    </row>
    <row r="9" spans="1:15" x14ac:dyDescent="0.25">
      <c r="A9" s="8" t="s">
        <v>86</v>
      </c>
      <c r="B9" s="8">
        <v>2020</v>
      </c>
      <c r="C9" s="8" t="s">
        <v>86</v>
      </c>
      <c r="D9" s="8" t="s">
        <v>1485</v>
      </c>
      <c r="E9">
        <f t="shared" si="0"/>
        <v>4000000006</v>
      </c>
      <c r="F9">
        <v>4</v>
      </c>
      <c r="J9">
        <f t="shared" si="1"/>
        <v>20000000006</v>
      </c>
      <c r="K9">
        <v>6</v>
      </c>
    </row>
    <row r="10" spans="1:15" x14ac:dyDescent="0.25">
      <c r="A10" s="8" t="s">
        <v>86</v>
      </c>
      <c r="B10" s="8">
        <v>311</v>
      </c>
      <c r="C10" s="8" t="s">
        <v>86</v>
      </c>
      <c r="D10" s="8" t="s">
        <v>1486</v>
      </c>
      <c r="E10">
        <f t="shared" si="0"/>
        <v>4000000007</v>
      </c>
      <c r="F10">
        <v>4</v>
      </c>
      <c r="J10">
        <f t="shared" si="1"/>
        <v>20000000007</v>
      </c>
      <c r="K10">
        <v>7</v>
      </c>
    </row>
    <row r="11" spans="1:15" x14ac:dyDescent="0.25">
      <c r="A11" s="8" t="s">
        <v>86</v>
      </c>
      <c r="B11" s="8">
        <v>340</v>
      </c>
      <c r="C11" s="8" t="s">
        <v>86</v>
      </c>
      <c r="D11" s="8" t="s">
        <v>1487</v>
      </c>
      <c r="E11">
        <f t="shared" si="0"/>
        <v>4000000008</v>
      </c>
      <c r="F11">
        <v>4</v>
      </c>
      <c r="J11">
        <f t="shared" si="1"/>
        <v>20000000008</v>
      </c>
      <c r="K11">
        <v>8</v>
      </c>
    </row>
    <row r="12" spans="1:15" x14ac:dyDescent="0.25">
      <c r="A12" s="8" t="s">
        <v>86</v>
      </c>
      <c r="B12" s="8">
        <v>341</v>
      </c>
      <c r="C12" s="8" t="s">
        <v>86</v>
      </c>
      <c r="D12" s="8" t="s">
        <v>1488</v>
      </c>
      <c r="E12">
        <f t="shared" si="0"/>
        <v>4000000009</v>
      </c>
      <c r="F12">
        <v>4</v>
      </c>
      <c r="J12">
        <f t="shared" si="1"/>
        <v>20000000009</v>
      </c>
      <c r="K12">
        <v>9</v>
      </c>
    </row>
    <row r="13" spans="1:15" x14ac:dyDescent="0.25">
      <c r="A13" s="8" t="s">
        <v>86</v>
      </c>
      <c r="B13" s="8">
        <v>342</v>
      </c>
      <c r="C13" s="8" t="s">
        <v>86</v>
      </c>
      <c r="D13" s="8" t="s">
        <v>1489</v>
      </c>
      <c r="E13">
        <f t="shared" si="0"/>
        <v>4000000010</v>
      </c>
      <c r="F13">
        <v>4</v>
      </c>
      <c r="J13">
        <f t="shared" si="1"/>
        <v>20000000010</v>
      </c>
      <c r="K13">
        <v>10</v>
      </c>
    </row>
    <row r="14" spans="1:15" x14ac:dyDescent="0.25">
      <c r="A14" s="8" t="s">
        <v>86</v>
      </c>
      <c r="B14" s="8">
        <v>350</v>
      </c>
      <c r="C14" s="8" t="s">
        <v>86</v>
      </c>
      <c r="D14" s="8" t="s">
        <v>1490</v>
      </c>
      <c r="E14">
        <f t="shared" si="0"/>
        <v>4000000011</v>
      </c>
      <c r="F14">
        <v>4</v>
      </c>
      <c r="J14">
        <f t="shared" si="1"/>
        <v>20000000011</v>
      </c>
      <c r="K14">
        <v>11</v>
      </c>
    </row>
    <row r="15" spans="1:15" x14ac:dyDescent="0.25">
      <c r="A15" s="8" t="s">
        <v>86</v>
      </c>
      <c r="B15" s="8">
        <v>355</v>
      </c>
      <c r="C15" s="8" t="s">
        <v>86</v>
      </c>
      <c r="D15" s="8" t="s">
        <v>1491</v>
      </c>
      <c r="E15">
        <f t="shared" si="0"/>
        <v>4000000012</v>
      </c>
      <c r="F15">
        <v>4</v>
      </c>
      <c r="J15">
        <f t="shared" si="1"/>
        <v>20000000012</v>
      </c>
      <c r="K15">
        <v>12</v>
      </c>
    </row>
    <row r="16" spans="1:15" x14ac:dyDescent="0.25">
      <c r="A16" s="8" t="s">
        <v>86</v>
      </c>
      <c r="B16" s="8">
        <v>371</v>
      </c>
      <c r="C16" s="8" t="s">
        <v>86</v>
      </c>
      <c r="D16" s="8" t="s">
        <v>1492</v>
      </c>
      <c r="E16">
        <f t="shared" si="0"/>
        <v>4000000013</v>
      </c>
      <c r="F16">
        <v>4</v>
      </c>
      <c r="J16">
        <f t="shared" si="1"/>
        <v>20000000013</v>
      </c>
      <c r="K16">
        <v>13</v>
      </c>
    </row>
    <row r="17" spans="1:11" x14ac:dyDescent="0.25">
      <c r="A17" s="8" t="s">
        <v>86</v>
      </c>
      <c r="B17" s="8">
        <v>373</v>
      </c>
      <c r="C17" s="8" t="s">
        <v>86</v>
      </c>
      <c r="D17" s="8" t="s">
        <v>1493</v>
      </c>
      <c r="E17">
        <f t="shared" si="0"/>
        <v>4000000014</v>
      </c>
      <c r="F17">
        <v>4</v>
      </c>
      <c r="J17">
        <f t="shared" si="1"/>
        <v>20000000014</v>
      </c>
      <c r="K17">
        <v>14</v>
      </c>
    </row>
    <row r="18" spans="1:11" x14ac:dyDescent="0.25">
      <c r="A18" s="8" t="s">
        <v>86</v>
      </c>
      <c r="B18" s="8">
        <v>404</v>
      </c>
      <c r="C18" s="8" t="s">
        <v>86</v>
      </c>
      <c r="D18" s="8" t="s">
        <v>1494</v>
      </c>
      <c r="E18">
        <f t="shared" si="0"/>
        <v>4000000015</v>
      </c>
      <c r="F18">
        <v>4</v>
      </c>
      <c r="J18">
        <f t="shared" si="1"/>
        <v>20000000015</v>
      </c>
      <c r="K18">
        <v>15</v>
      </c>
    </row>
    <row r="19" spans="1:11" x14ac:dyDescent="0.25">
      <c r="A19" s="8" t="s">
        <v>86</v>
      </c>
      <c r="B19" s="8">
        <v>406</v>
      </c>
      <c r="C19" s="8" t="s">
        <v>86</v>
      </c>
      <c r="D19" s="8" t="s">
        <v>1495</v>
      </c>
      <c r="E19">
        <f t="shared" si="0"/>
        <v>4000000016</v>
      </c>
      <c r="F19">
        <v>4</v>
      </c>
      <c r="J19">
        <f t="shared" si="1"/>
        <v>20000000016</v>
      </c>
      <c r="K19">
        <v>16</v>
      </c>
    </row>
    <row r="20" spans="1:11" x14ac:dyDescent="0.25">
      <c r="A20" s="8" t="s">
        <v>86</v>
      </c>
      <c r="B20" s="8">
        <v>440</v>
      </c>
      <c r="C20" s="8" t="s">
        <v>86</v>
      </c>
      <c r="D20" s="8" t="s">
        <v>1496</v>
      </c>
      <c r="E20">
        <f t="shared" si="0"/>
        <v>4000000017</v>
      </c>
      <c r="F20">
        <v>4</v>
      </c>
      <c r="J20">
        <f t="shared" si="1"/>
        <v>20000000017</v>
      </c>
      <c r="K20">
        <v>17</v>
      </c>
    </row>
    <row r="21" spans="1:11" x14ac:dyDescent="0.25">
      <c r="A21" s="8" t="s">
        <v>86</v>
      </c>
      <c r="B21" s="8">
        <v>441</v>
      </c>
      <c r="C21" s="8" t="s">
        <v>86</v>
      </c>
      <c r="D21" s="8" t="s">
        <v>1497</v>
      </c>
      <c r="E21">
        <f t="shared" si="0"/>
        <v>4000000018</v>
      </c>
      <c r="F21">
        <v>4</v>
      </c>
      <c r="J21">
        <f t="shared" si="1"/>
        <v>20000000018</v>
      </c>
      <c r="K21">
        <v>18</v>
      </c>
    </row>
    <row r="22" spans="1:11" x14ac:dyDescent="0.25">
      <c r="A22" s="8" t="s">
        <v>86</v>
      </c>
      <c r="B22" s="8">
        <v>442</v>
      </c>
      <c r="C22" s="8" t="s">
        <v>86</v>
      </c>
      <c r="D22" s="8" t="s">
        <v>1498</v>
      </c>
      <c r="E22">
        <f t="shared" si="0"/>
        <v>4000000019</v>
      </c>
      <c r="F22">
        <v>4</v>
      </c>
      <c r="J22">
        <f t="shared" si="1"/>
        <v>20000000019</v>
      </c>
      <c r="K22">
        <v>19</v>
      </c>
    </row>
    <row r="23" spans="1:11" x14ac:dyDescent="0.25">
      <c r="A23" s="8" t="s">
        <v>86</v>
      </c>
      <c r="B23" s="8">
        <v>443</v>
      </c>
      <c r="C23" s="8" t="s">
        <v>86</v>
      </c>
      <c r="D23" s="8" t="s">
        <v>1499</v>
      </c>
      <c r="E23">
        <f t="shared" si="0"/>
        <v>4000000020</v>
      </c>
      <c r="F23">
        <v>4</v>
      </c>
      <c r="J23">
        <f t="shared" si="1"/>
        <v>20000000020</v>
      </c>
      <c r="K23">
        <v>20</v>
      </c>
    </row>
    <row r="24" spans="1:11" x14ac:dyDescent="0.25">
      <c r="A24" s="8" t="s">
        <v>86</v>
      </c>
      <c r="B24" s="8">
        <v>444</v>
      </c>
      <c r="C24" s="8" t="s">
        <v>86</v>
      </c>
      <c r="D24" s="8" t="s">
        <v>1500</v>
      </c>
      <c r="E24">
        <f t="shared" si="0"/>
        <v>4000000021</v>
      </c>
      <c r="F24">
        <v>4</v>
      </c>
      <c r="J24">
        <f t="shared" si="1"/>
        <v>20000000021</v>
      </c>
      <c r="K24">
        <v>21</v>
      </c>
    </row>
    <row r="25" spans="1:11" x14ac:dyDescent="0.25">
      <c r="A25" s="8" t="s">
        <v>86</v>
      </c>
      <c r="B25" s="8">
        <v>445</v>
      </c>
      <c r="C25" s="8" t="s">
        <v>86</v>
      </c>
      <c r="D25" s="8" t="s">
        <v>1501</v>
      </c>
      <c r="E25">
        <f t="shared" si="0"/>
        <v>4000000022</v>
      </c>
      <c r="F25">
        <v>4</v>
      </c>
      <c r="J25">
        <f t="shared" si="1"/>
        <v>20000000022</v>
      </c>
      <c r="K25">
        <v>22</v>
      </c>
    </row>
    <row r="26" spans="1:11" x14ac:dyDescent="0.25">
      <c r="A26" s="8" t="s">
        <v>86</v>
      </c>
      <c r="B26" s="8">
        <v>451</v>
      </c>
      <c r="C26" s="8" t="s">
        <v>86</v>
      </c>
      <c r="D26" s="8" t="s">
        <v>1502</v>
      </c>
      <c r="E26">
        <f t="shared" si="0"/>
        <v>4000000023</v>
      </c>
      <c r="F26">
        <v>4</v>
      </c>
      <c r="J26">
        <f t="shared" si="1"/>
        <v>20000000023</v>
      </c>
      <c r="K26">
        <v>23</v>
      </c>
    </row>
    <row r="27" spans="1:11" x14ac:dyDescent="0.25">
      <c r="A27" s="8" t="s">
        <v>86</v>
      </c>
      <c r="B27" s="8">
        <v>452</v>
      </c>
      <c r="C27" s="8" t="s">
        <v>86</v>
      </c>
      <c r="D27" s="8" t="s">
        <v>1503</v>
      </c>
      <c r="E27">
        <f t="shared" si="0"/>
        <v>4000000024</v>
      </c>
      <c r="F27">
        <v>4</v>
      </c>
      <c r="J27">
        <f t="shared" si="1"/>
        <v>20000000024</v>
      </c>
      <c r="K27">
        <v>24</v>
      </c>
    </row>
    <row r="28" spans="1:11" x14ac:dyDescent="0.25">
      <c r="A28" s="8" t="s">
        <v>86</v>
      </c>
      <c r="B28" s="8">
        <v>455</v>
      </c>
      <c r="C28" s="8" t="s">
        <v>86</v>
      </c>
      <c r="D28" s="8" t="s">
        <v>1504</v>
      </c>
      <c r="E28">
        <f t="shared" si="0"/>
        <v>4000000025</v>
      </c>
      <c r="F28">
        <v>4</v>
      </c>
      <c r="J28">
        <f t="shared" si="1"/>
        <v>20000000025</v>
      </c>
      <c r="K28">
        <v>25</v>
      </c>
    </row>
    <row r="29" spans="1:11" x14ac:dyDescent="0.25">
      <c r="A29" s="8" t="s">
        <v>86</v>
      </c>
      <c r="B29" s="8">
        <v>502</v>
      </c>
      <c r="C29" s="8" t="s">
        <v>86</v>
      </c>
      <c r="D29" s="8" t="s">
        <v>1505</v>
      </c>
      <c r="E29">
        <f t="shared" si="0"/>
        <v>4000000026</v>
      </c>
      <c r="F29">
        <v>4</v>
      </c>
      <c r="J29">
        <f t="shared" si="1"/>
        <v>20000000026</v>
      </c>
      <c r="K29">
        <v>26</v>
      </c>
    </row>
    <row r="30" spans="1:11" x14ac:dyDescent="0.25">
      <c r="A30" s="8" t="s">
        <v>86</v>
      </c>
      <c r="B30" s="8">
        <v>504</v>
      </c>
      <c r="C30" s="8" t="s">
        <v>86</v>
      </c>
      <c r="D30" s="8" t="s">
        <v>1506</v>
      </c>
      <c r="E30">
        <f t="shared" si="0"/>
        <v>4000000027</v>
      </c>
      <c r="F30">
        <v>4</v>
      </c>
      <c r="J30">
        <f t="shared" si="1"/>
        <v>20000000027</v>
      </c>
      <c r="K30">
        <v>27</v>
      </c>
    </row>
    <row r="31" spans="1:11" x14ac:dyDescent="0.25">
      <c r="A31" s="8" t="s">
        <v>86</v>
      </c>
      <c r="B31" s="8">
        <v>522</v>
      </c>
      <c r="C31" s="8" t="s">
        <v>86</v>
      </c>
      <c r="D31" s="8" t="s">
        <v>1507</v>
      </c>
      <c r="E31">
        <f t="shared" si="0"/>
        <v>4000000028</v>
      </c>
      <c r="F31">
        <v>4</v>
      </c>
      <c r="J31">
        <f t="shared" si="1"/>
        <v>20000000028</v>
      </c>
      <c r="K31">
        <v>28</v>
      </c>
    </row>
    <row r="32" spans="1:11" x14ac:dyDescent="0.25">
      <c r="A32" s="8" t="s">
        <v>86</v>
      </c>
      <c r="B32" s="8" t="s">
        <v>87</v>
      </c>
      <c r="C32" s="8" t="s">
        <v>86</v>
      </c>
      <c r="D32" s="8" t="s">
        <v>1508</v>
      </c>
      <c r="E32">
        <f t="shared" si="0"/>
        <v>4000000029</v>
      </c>
      <c r="F32">
        <v>4</v>
      </c>
      <c r="J32">
        <f t="shared" si="1"/>
        <v>20000000029</v>
      </c>
      <c r="K32">
        <v>29</v>
      </c>
    </row>
    <row r="33" spans="1:11" x14ac:dyDescent="0.25">
      <c r="A33" s="8" t="s">
        <v>86</v>
      </c>
      <c r="B33" s="8" t="s">
        <v>88</v>
      </c>
      <c r="C33" s="8" t="s">
        <v>86</v>
      </c>
      <c r="D33" s="8" t="s">
        <v>1509</v>
      </c>
      <c r="E33">
        <f t="shared" si="0"/>
        <v>4000000030</v>
      </c>
      <c r="F33">
        <v>4</v>
      </c>
      <c r="J33">
        <f t="shared" si="1"/>
        <v>20000000030</v>
      </c>
      <c r="K33">
        <v>30</v>
      </c>
    </row>
    <row r="34" spans="1:11" x14ac:dyDescent="0.25">
      <c r="A34" s="8" t="s">
        <v>86</v>
      </c>
      <c r="B34" s="8">
        <v>801</v>
      </c>
      <c r="C34" s="8" t="s">
        <v>86</v>
      </c>
      <c r="D34" s="8" t="s">
        <v>1510</v>
      </c>
      <c r="E34">
        <f t="shared" si="0"/>
        <v>4000000031</v>
      </c>
      <c r="F34">
        <v>4</v>
      </c>
      <c r="J34">
        <f t="shared" si="1"/>
        <v>20000000031</v>
      </c>
      <c r="K34">
        <v>31</v>
      </c>
    </row>
    <row r="35" spans="1:11" x14ac:dyDescent="0.25">
      <c r="A35" s="8" t="s">
        <v>86</v>
      </c>
      <c r="B35" s="8">
        <v>803</v>
      </c>
      <c r="C35" s="8" t="s">
        <v>86</v>
      </c>
      <c r="D35" s="8" t="s">
        <v>1511</v>
      </c>
      <c r="E35">
        <f t="shared" si="0"/>
        <v>4000000032</v>
      </c>
      <c r="F35">
        <v>4</v>
      </c>
      <c r="J35">
        <f t="shared" si="1"/>
        <v>20000000032</v>
      </c>
      <c r="K35">
        <v>32</v>
      </c>
    </row>
    <row r="36" spans="1:11" x14ac:dyDescent="0.25">
      <c r="A36" s="8" t="s">
        <v>86</v>
      </c>
      <c r="B36" s="8" t="s">
        <v>89</v>
      </c>
      <c r="C36" s="8" t="s">
        <v>86</v>
      </c>
      <c r="D36" s="8" t="s">
        <v>1512</v>
      </c>
      <c r="E36">
        <f t="shared" si="0"/>
        <v>4000000033</v>
      </c>
      <c r="F36">
        <v>4</v>
      </c>
      <c r="J36">
        <f t="shared" si="1"/>
        <v>20000000033</v>
      </c>
      <c r="K36">
        <v>33</v>
      </c>
    </row>
    <row r="37" spans="1:11" x14ac:dyDescent="0.25">
      <c r="A37" s="8" t="s">
        <v>86</v>
      </c>
      <c r="B37" s="8" t="s">
        <v>90</v>
      </c>
      <c r="C37" s="8" t="s">
        <v>86</v>
      </c>
      <c r="D37" s="8" t="s">
        <v>1513</v>
      </c>
      <c r="E37">
        <f t="shared" si="0"/>
        <v>4000000034</v>
      </c>
      <c r="F37">
        <v>4</v>
      </c>
      <c r="J37">
        <f t="shared" si="1"/>
        <v>20000000034</v>
      </c>
      <c r="K37">
        <v>34</v>
      </c>
    </row>
    <row r="38" spans="1:11" x14ac:dyDescent="0.25">
      <c r="A38" s="8" t="s">
        <v>86</v>
      </c>
      <c r="B38" s="8" t="s">
        <v>91</v>
      </c>
      <c r="C38" s="8" t="s">
        <v>86</v>
      </c>
      <c r="D38" s="8" t="s">
        <v>1514</v>
      </c>
      <c r="E38">
        <f t="shared" si="0"/>
        <v>4000000035</v>
      </c>
      <c r="F38">
        <v>4</v>
      </c>
      <c r="J38">
        <f t="shared" si="1"/>
        <v>20000000035</v>
      </c>
      <c r="K38">
        <v>35</v>
      </c>
    </row>
    <row r="39" spans="1:11" x14ac:dyDescent="0.25">
      <c r="A39" s="8" t="s">
        <v>86</v>
      </c>
      <c r="B39" s="8">
        <v>862</v>
      </c>
      <c r="C39" s="8" t="s">
        <v>86</v>
      </c>
      <c r="D39" s="8" t="s">
        <v>1515</v>
      </c>
      <c r="E39">
        <f t="shared" si="0"/>
        <v>4000000036</v>
      </c>
      <c r="F39">
        <v>4</v>
      </c>
      <c r="J39">
        <f t="shared" si="1"/>
        <v>20000000036</v>
      </c>
      <c r="K39">
        <v>36</v>
      </c>
    </row>
    <row r="40" spans="1:11" x14ac:dyDescent="0.25">
      <c r="A40" s="8" t="s">
        <v>86</v>
      </c>
      <c r="B40" s="8">
        <v>8630</v>
      </c>
      <c r="C40" s="8" t="s">
        <v>86</v>
      </c>
      <c r="D40" s="8" t="s">
        <v>1516</v>
      </c>
      <c r="E40">
        <f t="shared" si="0"/>
        <v>4000000037</v>
      </c>
      <c r="F40">
        <v>4</v>
      </c>
      <c r="J40">
        <f t="shared" si="1"/>
        <v>20000000037</v>
      </c>
      <c r="K40">
        <v>37</v>
      </c>
    </row>
    <row r="41" spans="1:11" x14ac:dyDescent="0.25">
      <c r="A41" s="8" t="s">
        <v>86</v>
      </c>
      <c r="B41" s="8">
        <v>902</v>
      </c>
      <c r="C41" s="8" t="s">
        <v>86</v>
      </c>
      <c r="D41" s="8" t="s">
        <v>1517</v>
      </c>
      <c r="E41">
        <f t="shared" si="0"/>
        <v>4000000038</v>
      </c>
      <c r="F41">
        <v>4</v>
      </c>
      <c r="J41">
        <f t="shared" si="1"/>
        <v>20000000038</v>
      </c>
      <c r="K41">
        <v>38</v>
      </c>
    </row>
    <row r="42" spans="1:11" x14ac:dyDescent="0.25">
      <c r="A42" s="8" t="s">
        <v>86</v>
      </c>
      <c r="B42" s="8">
        <v>905</v>
      </c>
      <c r="C42" s="8" t="s">
        <v>86</v>
      </c>
      <c r="D42" s="8" t="s">
        <v>1518</v>
      </c>
      <c r="E42">
        <f t="shared" si="0"/>
        <v>4000000039</v>
      </c>
      <c r="F42">
        <v>4</v>
      </c>
      <c r="J42">
        <f t="shared" si="1"/>
        <v>20000000039</v>
      </c>
      <c r="K42">
        <v>39</v>
      </c>
    </row>
    <row r="43" spans="1:11" x14ac:dyDescent="0.25">
      <c r="A43" s="8" t="s">
        <v>86</v>
      </c>
      <c r="B43" s="8" t="s">
        <v>92</v>
      </c>
      <c r="C43" s="8" t="s">
        <v>86</v>
      </c>
      <c r="D43" s="8" t="s">
        <v>1519</v>
      </c>
      <c r="E43">
        <f t="shared" si="0"/>
        <v>4000000040</v>
      </c>
      <c r="F43">
        <v>4</v>
      </c>
      <c r="J43">
        <f t="shared" si="1"/>
        <v>20000000040</v>
      </c>
      <c r="K43">
        <v>40</v>
      </c>
    </row>
    <row r="44" spans="1:11" x14ac:dyDescent="0.25">
      <c r="A44" s="8" t="s">
        <v>86</v>
      </c>
      <c r="B44" s="8" t="s">
        <v>93</v>
      </c>
      <c r="C44" s="8" t="s">
        <v>86</v>
      </c>
      <c r="D44" s="8" t="s">
        <v>1520</v>
      </c>
      <c r="E44">
        <f t="shared" si="0"/>
        <v>4000000041</v>
      </c>
      <c r="F44">
        <v>4</v>
      </c>
      <c r="J44">
        <f t="shared" si="1"/>
        <v>20000000041</v>
      </c>
      <c r="K44">
        <v>41</v>
      </c>
    </row>
    <row r="45" spans="1:11" x14ac:dyDescent="0.25">
      <c r="A45" s="8" t="s">
        <v>86</v>
      </c>
      <c r="B45" s="8" t="s">
        <v>94</v>
      </c>
      <c r="C45" s="8" t="s">
        <v>86</v>
      </c>
      <c r="D45" s="8" t="s">
        <v>1521</v>
      </c>
      <c r="E45">
        <f t="shared" si="0"/>
        <v>4000000042</v>
      </c>
      <c r="F45">
        <v>4</v>
      </c>
      <c r="J45">
        <f t="shared" si="1"/>
        <v>20000000042</v>
      </c>
      <c r="K45">
        <v>42</v>
      </c>
    </row>
    <row r="46" spans="1:11" x14ac:dyDescent="0.25">
      <c r="A46" s="8" t="s">
        <v>86</v>
      </c>
      <c r="B46" s="8" t="s">
        <v>95</v>
      </c>
      <c r="C46" s="8" t="s">
        <v>86</v>
      </c>
      <c r="D46" s="8" t="s">
        <v>1522</v>
      </c>
      <c r="E46">
        <f t="shared" si="0"/>
        <v>4000000043</v>
      </c>
      <c r="F46">
        <v>4</v>
      </c>
      <c r="J46">
        <f t="shared" si="1"/>
        <v>20000000043</v>
      </c>
      <c r="K46">
        <v>43</v>
      </c>
    </row>
    <row r="47" spans="1:11" x14ac:dyDescent="0.25">
      <c r="A47" s="8" t="s">
        <v>86</v>
      </c>
      <c r="B47" s="8" t="s">
        <v>96</v>
      </c>
      <c r="C47" s="8" t="s">
        <v>86</v>
      </c>
      <c r="D47" s="8" t="s">
        <v>1523</v>
      </c>
      <c r="E47">
        <f t="shared" si="0"/>
        <v>4000000044</v>
      </c>
      <c r="F47">
        <v>4</v>
      </c>
      <c r="J47">
        <f t="shared" si="1"/>
        <v>20000000044</v>
      </c>
      <c r="K47">
        <v>44</v>
      </c>
    </row>
    <row r="48" spans="1:11" x14ac:dyDescent="0.25">
      <c r="A48" s="8" t="s">
        <v>86</v>
      </c>
      <c r="B48" s="8" t="s">
        <v>97</v>
      </c>
      <c r="C48" s="8" t="s">
        <v>86</v>
      </c>
      <c r="D48" s="8" t="s">
        <v>1524</v>
      </c>
      <c r="E48">
        <f t="shared" si="0"/>
        <v>4000000045</v>
      </c>
      <c r="F48">
        <v>4</v>
      </c>
      <c r="J48">
        <f t="shared" si="1"/>
        <v>20000000045</v>
      </c>
      <c r="K48">
        <v>45</v>
      </c>
    </row>
    <row r="49" spans="1:11" x14ac:dyDescent="0.25">
      <c r="A49" s="8" t="s">
        <v>86</v>
      </c>
      <c r="B49" s="8" t="s">
        <v>98</v>
      </c>
      <c r="C49" s="8" t="s">
        <v>86</v>
      </c>
      <c r="D49" s="8" t="s">
        <v>1525</v>
      </c>
      <c r="E49">
        <f t="shared" si="0"/>
        <v>4000000046</v>
      </c>
      <c r="F49">
        <v>4</v>
      </c>
      <c r="J49">
        <f t="shared" si="1"/>
        <v>20000000046</v>
      </c>
      <c r="K49">
        <v>46</v>
      </c>
    </row>
    <row r="50" spans="1:11" x14ac:dyDescent="0.25">
      <c r="A50" s="8" t="s">
        <v>86</v>
      </c>
      <c r="B50" s="8" t="s">
        <v>99</v>
      </c>
      <c r="C50" s="8" t="s">
        <v>86</v>
      </c>
      <c r="D50" s="8" t="s">
        <v>1526</v>
      </c>
      <c r="E50">
        <f t="shared" si="0"/>
        <v>4000000047</v>
      </c>
      <c r="F50">
        <v>4</v>
      </c>
      <c r="J50">
        <f t="shared" si="1"/>
        <v>20000000047</v>
      </c>
      <c r="K50">
        <v>47</v>
      </c>
    </row>
    <row r="51" spans="1:11" x14ac:dyDescent="0.25">
      <c r="A51" s="8" t="s">
        <v>86</v>
      </c>
      <c r="B51" s="8" t="s">
        <v>100</v>
      </c>
      <c r="C51" s="8" t="s">
        <v>86</v>
      </c>
      <c r="D51" s="8" t="s">
        <v>1527</v>
      </c>
      <c r="E51">
        <f t="shared" si="0"/>
        <v>4000000048</v>
      </c>
      <c r="F51">
        <v>4</v>
      </c>
      <c r="J51">
        <f t="shared" si="1"/>
        <v>20000000048</v>
      </c>
      <c r="K51">
        <v>48</v>
      </c>
    </row>
    <row r="52" spans="1:11" x14ac:dyDescent="0.25">
      <c r="A52" s="8" t="s">
        <v>86</v>
      </c>
      <c r="B52" s="8" t="s">
        <v>101</v>
      </c>
      <c r="C52" s="8" t="s">
        <v>86</v>
      </c>
      <c r="D52" s="8" t="s">
        <v>1528</v>
      </c>
      <c r="E52">
        <f t="shared" si="0"/>
        <v>4000000049</v>
      </c>
      <c r="F52">
        <v>4</v>
      </c>
      <c r="J52">
        <f t="shared" si="1"/>
        <v>20000000049</v>
      </c>
      <c r="K52">
        <v>49</v>
      </c>
    </row>
    <row r="53" spans="1:11" x14ac:dyDescent="0.25">
      <c r="A53" s="8" t="s">
        <v>86</v>
      </c>
      <c r="B53" s="8" t="s">
        <v>33</v>
      </c>
      <c r="C53" s="8" t="s">
        <v>86</v>
      </c>
      <c r="D53" s="8" t="s">
        <v>1529</v>
      </c>
      <c r="E53">
        <f t="shared" si="0"/>
        <v>4000000050</v>
      </c>
      <c r="F53">
        <v>4</v>
      </c>
      <c r="J53">
        <f t="shared" si="1"/>
        <v>20000000050</v>
      </c>
      <c r="K53">
        <v>50</v>
      </c>
    </row>
    <row r="54" spans="1:11" x14ac:dyDescent="0.25">
      <c r="A54" s="8" t="s">
        <v>86</v>
      </c>
      <c r="B54" s="8" t="s">
        <v>102</v>
      </c>
      <c r="C54" s="8" t="s">
        <v>86</v>
      </c>
      <c r="D54" s="8" t="s">
        <v>1530</v>
      </c>
      <c r="E54">
        <f t="shared" si="0"/>
        <v>4000000051</v>
      </c>
      <c r="F54">
        <v>4</v>
      </c>
      <c r="J54">
        <f t="shared" si="1"/>
        <v>20000000051</v>
      </c>
      <c r="K54">
        <v>51</v>
      </c>
    </row>
    <row r="55" spans="1:11" x14ac:dyDescent="0.25">
      <c r="A55" s="8" t="s">
        <v>86</v>
      </c>
      <c r="B55" s="8" t="s">
        <v>34</v>
      </c>
      <c r="C55" s="8" t="s">
        <v>86</v>
      </c>
      <c r="D55" s="8" t="s">
        <v>1531</v>
      </c>
      <c r="E55">
        <f t="shared" si="0"/>
        <v>4000000052</v>
      </c>
      <c r="F55">
        <v>4</v>
      </c>
      <c r="J55">
        <f t="shared" si="1"/>
        <v>20000000052</v>
      </c>
      <c r="K55">
        <v>52</v>
      </c>
    </row>
    <row r="56" spans="1:11" x14ac:dyDescent="0.25">
      <c r="A56" s="8" t="s">
        <v>86</v>
      </c>
      <c r="B56" s="8" t="s">
        <v>658</v>
      </c>
      <c r="C56" s="8" t="s">
        <v>86</v>
      </c>
      <c r="D56" s="8" t="s">
        <v>1532</v>
      </c>
      <c r="E56">
        <f t="shared" si="0"/>
        <v>4000000053</v>
      </c>
      <c r="F56">
        <v>4</v>
      </c>
      <c r="J56">
        <f t="shared" si="1"/>
        <v>20000000053</v>
      </c>
      <c r="K56">
        <v>53</v>
      </c>
    </row>
    <row r="57" spans="1:11" x14ac:dyDescent="0.25">
      <c r="A57" s="8" t="s">
        <v>86</v>
      </c>
      <c r="B57" s="8" t="s">
        <v>103</v>
      </c>
      <c r="C57" s="8" t="s">
        <v>86</v>
      </c>
      <c r="D57" s="8" t="s">
        <v>1533</v>
      </c>
      <c r="E57">
        <f t="shared" si="0"/>
        <v>4000000054</v>
      </c>
      <c r="F57">
        <v>4</v>
      </c>
      <c r="J57">
        <f t="shared" si="1"/>
        <v>20000000054</v>
      </c>
      <c r="K57">
        <v>54</v>
      </c>
    </row>
    <row r="58" spans="1:11" x14ac:dyDescent="0.25">
      <c r="A58" s="8" t="s">
        <v>86</v>
      </c>
      <c r="B58" s="8" t="s">
        <v>104</v>
      </c>
      <c r="C58" s="8" t="s">
        <v>86</v>
      </c>
      <c r="D58" s="8" t="s">
        <v>1534</v>
      </c>
      <c r="E58">
        <f t="shared" si="0"/>
        <v>4000000055</v>
      </c>
      <c r="F58">
        <v>4</v>
      </c>
      <c r="J58">
        <f t="shared" si="1"/>
        <v>20000000055</v>
      </c>
      <c r="K58">
        <v>55</v>
      </c>
    </row>
    <row r="59" spans="1:11" x14ac:dyDescent="0.25">
      <c r="A59" s="8" t="s">
        <v>86</v>
      </c>
      <c r="B59" s="8" t="s">
        <v>35</v>
      </c>
      <c r="C59" s="8" t="s">
        <v>86</v>
      </c>
      <c r="D59" s="8" t="s">
        <v>1535</v>
      </c>
      <c r="E59">
        <f t="shared" si="0"/>
        <v>4000000056</v>
      </c>
      <c r="F59">
        <v>4</v>
      </c>
      <c r="J59">
        <f t="shared" si="1"/>
        <v>20000000056</v>
      </c>
      <c r="K59">
        <v>56</v>
      </c>
    </row>
    <row r="60" spans="1:11" x14ac:dyDescent="0.25">
      <c r="A60" s="8" t="s">
        <v>86</v>
      </c>
      <c r="B60" s="8" t="s">
        <v>105</v>
      </c>
      <c r="C60" s="8" t="s">
        <v>86</v>
      </c>
      <c r="D60" s="8" t="s">
        <v>1536</v>
      </c>
      <c r="E60">
        <f t="shared" si="0"/>
        <v>4000000057</v>
      </c>
      <c r="F60">
        <v>4</v>
      </c>
      <c r="J60">
        <f t="shared" si="1"/>
        <v>20000000057</v>
      </c>
      <c r="K60">
        <v>57</v>
      </c>
    </row>
    <row r="61" spans="1:11" x14ac:dyDescent="0.25">
      <c r="A61" s="8" t="s">
        <v>86</v>
      </c>
      <c r="B61" s="8" t="s">
        <v>106</v>
      </c>
      <c r="C61" s="8" t="s">
        <v>86</v>
      </c>
      <c r="D61" s="8" t="s">
        <v>1537</v>
      </c>
      <c r="E61">
        <f t="shared" si="0"/>
        <v>4000000058</v>
      </c>
      <c r="F61">
        <v>4</v>
      </c>
      <c r="J61">
        <f t="shared" si="1"/>
        <v>20000000058</v>
      </c>
      <c r="K61">
        <v>58</v>
      </c>
    </row>
    <row r="62" spans="1:11" x14ac:dyDescent="0.25">
      <c r="A62" s="8" t="s">
        <v>86</v>
      </c>
      <c r="B62" s="8" t="s">
        <v>31</v>
      </c>
      <c r="C62" s="8" t="s">
        <v>86</v>
      </c>
      <c r="D62" s="8" t="s">
        <v>1538</v>
      </c>
      <c r="E62">
        <f t="shared" si="0"/>
        <v>4000000059</v>
      </c>
      <c r="F62">
        <v>4</v>
      </c>
      <c r="J62">
        <f t="shared" si="1"/>
        <v>20000000059</v>
      </c>
      <c r="K62">
        <v>59</v>
      </c>
    </row>
    <row r="63" spans="1:11" x14ac:dyDescent="0.25">
      <c r="A63" s="8" t="s">
        <v>86</v>
      </c>
      <c r="B63" s="8" t="s">
        <v>107</v>
      </c>
      <c r="C63" s="8" t="s">
        <v>86</v>
      </c>
      <c r="D63" s="8" t="s">
        <v>1539</v>
      </c>
      <c r="E63">
        <f t="shared" si="0"/>
        <v>4000000060</v>
      </c>
      <c r="F63">
        <v>4</v>
      </c>
      <c r="J63">
        <f t="shared" si="1"/>
        <v>20000000060</v>
      </c>
      <c r="K63">
        <v>60</v>
      </c>
    </row>
    <row r="64" spans="1:11" x14ac:dyDescent="0.25">
      <c r="A64" s="8" t="s">
        <v>86</v>
      </c>
      <c r="B64" s="8" t="s">
        <v>108</v>
      </c>
      <c r="C64" s="8" t="s">
        <v>86</v>
      </c>
      <c r="D64" s="8" t="s">
        <v>1540</v>
      </c>
      <c r="E64">
        <f t="shared" si="0"/>
        <v>4000000061</v>
      </c>
      <c r="F64">
        <v>4</v>
      </c>
      <c r="J64">
        <f t="shared" si="1"/>
        <v>20000000061</v>
      </c>
      <c r="K64">
        <v>61</v>
      </c>
    </row>
    <row r="65" spans="1:11" x14ac:dyDescent="0.25">
      <c r="A65" s="8" t="s">
        <v>86</v>
      </c>
      <c r="B65" s="8" t="s">
        <v>109</v>
      </c>
      <c r="C65" s="8" t="s">
        <v>86</v>
      </c>
      <c r="D65" s="8" t="s">
        <v>1541</v>
      </c>
      <c r="E65">
        <f t="shared" si="0"/>
        <v>4000000062</v>
      </c>
      <c r="F65">
        <v>4</v>
      </c>
      <c r="J65">
        <f t="shared" si="1"/>
        <v>20000000062</v>
      </c>
      <c r="K65">
        <v>62</v>
      </c>
    </row>
    <row r="66" spans="1:11" x14ac:dyDescent="0.25">
      <c r="A66" s="8" t="s">
        <v>86</v>
      </c>
      <c r="B66" s="8" t="s">
        <v>32</v>
      </c>
      <c r="C66" s="8" t="s">
        <v>86</v>
      </c>
      <c r="D66" s="8" t="s">
        <v>1542</v>
      </c>
      <c r="E66">
        <f t="shared" si="0"/>
        <v>4000000063</v>
      </c>
      <c r="F66">
        <v>4</v>
      </c>
      <c r="J66">
        <f t="shared" si="1"/>
        <v>20000000063</v>
      </c>
      <c r="K66">
        <v>63</v>
      </c>
    </row>
    <row r="67" spans="1:11" x14ac:dyDescent="0.25">
      <c r="A67" s="8" t="s">
        <v>86</v>
      </c>
      <c r="B67" s="8" t="s">
        <v>110</v>
      </c>
      <c r="C67" s="8" t="s">
        <v>86</v>
      </c>
      <c r="D67" s="8" t="s">
        <v>1543</v>
      </c>
      <c r="E67">
        <f t="shared" ref="E67:E130" si="2">IF(F67="",J67,IF(G67="",F67*$F$2+K67,IF(H67="",F67*$F$2+G67*$G$2+K67,IF(I67="",F67*$F$2+G67*$G$2+H67*$H$2+K67,F67*$F$2+G67*$G$2+H67*$H$2+I67*$I$2+K67))))</f>
        <v>4000000064</v>
      </c>
      <c r="F67">
        <v>4</v>
      </c>
      <c r="J67">
        <f t="shared" si="1"/>
        <v>20000000064</v>
      </c>
      <c r="K67">
        <v>64</v>
      </c>
    </row>
    <row r="68" spans="1:11" x14ac:dyDescent="0.25">
      <c r="A68" s="8" t="s">
        <v>86</v>
      </c>
      <c r="B68" s="8" t="s">
        <v>111</v>
      </c>
      <c r="C68" s="8" t="s">
        <v>86</v>
      </c>
      <c r="D68" s="8" t="s">
        <v>1544</v>
      </c>
      <c r="E68">
        <f t="shared" si="2"/>
        <v>4000000065</v>
      </c>
      <c r="F68">
        <v>4</v>
      </c>
      <c r="J68">
        <f t="shared" si="1"/>
        <v>20000000065</v>
      </c>
      <c r="K68">
        <v>65</v>
      </c>
    </row>
    <row r="69" spans="1:11" x14ac:dyDescent="0.25">
      <c r="A69" s="8" t="s">
        <v>86</v>
      </c>
      <c r="B69" s="8" t="s">
        <v>914</v>
      </c>
      <c r="C69" s="8" t="s">
        <v>86</v>
      </c>
      <c r="D69" s="8" t="s">
        <v>1545</v>
      </c>
      <c r="E69">
        <f t="shared" si="2"/>
        <v>4000000066</v>
      </c>
      <c r="F69">
        <v>4</v>
      </c>
      <c r="J69">
        <f t="shared" si="1"/>
        <v>20000000066</v>
      </c>
      <c r="K69">
        <v>66</v>
      </c>
    </row>
    <row r="70" spans="1:11" x14ac:dyDescent="0.25">
      <c r="A70" s="8" t="s">
        <v>86</v>
      </c>
      <c r="B70" s="8" t="s">
        <v>112</v>
      </c>
      <c r="C70" s="8" t="s">
        <v>86</v>
      </c>
      <c r="D70" s="8" t="s">
        <v>1546</v>
      </c>
      <c r="E70">
        <f t="shared" si="2"/>
        <v>4000000067</v>
      </c>
      <c r="F70">
        <v>4</v>
      </c>
      <c r="J70">
        <f t="shared" ref="J70:J133" si="3">J69+1</f>
        <v>20000000067</v>
      </c>
      <c r="K70">
        <v>67</v>
      </c>
    </row>
    <row r="71" spans="1:11" x14ac:dyDescent="0.25">
      <c r="A71" s="8" t="s">
        <v>86</v>
      </c>
      <c r="B71" s="8" t="s">
        <v>113</v>
      </c>
      <c r="C71" s="8" t="s">
        <v>86</v>
      </c>
      <c r="D71" s="8" t="s">
        <v>1547</v>
      </c>
      <c r="E71">
        <f t="shared" si="2"/>
        <v>4000000068</v>
      </c>
      <c r="F71">
        <v>4</v>
      </c>
      <c r="J71">
        <f t="shared" si="3"/>
        <v>20000000068</v>
      </c>
      <c r="K71">
        <v>68</v>
      </c>
    </row>
    <row r="72" spans="1:11" x14ac:dyDescent="0.25">
      <c r="A72" s="8" t="s">
        <v>86</v>
      </c>
      <c r="B72" s="8" t="s">
        <v>114</v>
      </c>
      <c r="C72" s="8" t="s">
        <v>86</v>
      </c>
      <c r="D72" s="8" t="s">
        <v>1548</v>
      </c>
      <c r="E72">
        <f t="shared" si="2"/>
        <v>4000000069</v>
      </c>
      <c r="F72">
        <v>4</v>
      </c>
      <c r="J72">
        <f t="shared" si="3"/>
        <v>20000000069</v>
      </c>
      <c r="K72">
        <v>69</v>
      </c>
    </row>
    <row r="73" spans="1:11" x14ac:dyDescent="0.25">
      <c r="A73" s="8" t="s">
        <v>86</v>
      </c>
      <c r="B73" s="8" t="s">
        <v>115</v>
      </c>
      <c r="C73" s="8" t="s">
        <v>86</v>
      </c>
      <c r="D73" s="8" t="s">
        <v>1549</v>
      </c>
      <c r="E73">
        <f t="shared" si="2"/>
        <v>4000000070</v>
      </c>
      <c r="F73">
        <v>4</v>
      </c>
      <c r="J73">
        <f t="shared" si="3"/>
        <v>20000000070</v>
      </c>
      <c r="K73">
        <v>70</v>
      </c>
    </row>
    <row r="74" spans="1:11" x14ac:dyDescent="0.25">
      <c r="A74" s="8" t="s">
        <v>86</v>
      </c>
      <c r="B74" s="8" t="s">
        <v>116</v>
      </c>
      <c r="C74" s="8" t="s">
        <v>86</v>
      </c>
      <c r="D74" s="8" t="s">
        <v>1550</v>
      </c>
      <c r="E74">
        <f t="shared" si="2"/>
        <v>4000000071</v>
      </c>
      <c r="F74">
        <v>4</v>
      </c>
      <c r="J74">
        <f t="shared" si="3"/>
        <v>20000000071</v>
      </c>
      <c r="K74">
        <v>71</v>
      </c>
    </row>
    <row r="75" spans="1:11" x14ac:dyDescent="0.25">
      <c r="A75" s="8" t="s">
        <v>86</v>
      </c>
      <c r="B75" s="8" t="s">
        <v>117</v>
      </c>
      <c r="C75" s="8" t="s">
        <v>86</v>
      </c>
      <c r="D75" s="8" t="s">
        <v>1551</v>
      </c>
      <c r="E75">
        <f t="shared" si="2"/>
        <v>4000000072</v>
      </c>
      <c r="F75">
        <v>4</v>
      </c>
      <c r="J75">
        <f t="shared" si="3"/>
        <v>20000000072</v>
      </c>
      <c r="K75">
        <v>72</v>
      </c>
    </row>
    <row r="76" spans="1:11" x14ac:dyDescent="0.25">
      <c r="A76" s="8" t="s">
        <v>118</v>
      </c>
      <c r="B76" s="8" t="s">
        <v>915</v>
      </c>
      <c r="C76" s="8" t="s">
        <v>118</v>
      </c>
      <c r="D76" s="8" t="s">
        <v>1552</v>
      </c>
      <c r="E76">
        <f t="shared" si="2"/>
        <v>4000000073</v>
      </c>
      <c r="F76">
        <v>4</v>
      </c>
      <c r="J76">
        <f t="shared" si="3"/>
        <v>20000000073</v>
      </c>
      <c r="K76">
        <v>73</v>
      </c>
    </row>
    <row r="77" spans="1:11" x14ac:dyDescent="0.25">
      <c r="A77" s="8" t="s">
        <v>13</v>
      </c>
      <c r="B77" s="8" t="s">
        <v>119</v>
      </c>
      <c r="C77" s="8" t="s">
        <v>13</v>
      </c>
      <c r="D77" s="8" t="s">
        <v>1553</v>
      </c>
      <c r="E77">
        <f t="shared" si="2"/>
        <v>4000000074</v>
      </c>
      <c r="F77">
        <v>4</v>
      </c>
      <c r="J77">
        <f t="shared" si="3"/>
        <v>20000000074</v>
      </c>
      <c r="K77">
        <v>74</v>
      </c>
    </row>
    <row r="78" spans="1:11" x14ac:dyDescent="0.25">
      <c r="A78" s="8" t="s">
        <v>13</v>
      </c>
      <c r="B78" s="8" t="s">
        <v>120</v>
      </c>
      <c r="C78" s="8" t="s">
        <v>13</v>
      </c>
      <c r="D78" s="8" t="s">
        <v>1554</v>
      </c>
      <c r="E78">
        <f t="shared" si="2"/>
        <v>4000000075</v>
      </c>
      <c r="F78">
        <v>4</v>
      </c>
      <c r="J78">
        <f t="shared" si="3"/>
        <v>20000000075</v>
      </c>
      <c r="K78">
        <v>75</v>
      </c>
    </row>
    <row r="79" spans="1:11" x14ac:dyDescent="0.25">
      <c r="A79" s="8" t="s">
        <v>13</v>
      </c>
      <c r="B79" s="8" t="s">
        <v>121</v>
      </c>
      <c r="C79" s="8" t="s">
        <v>13</v>
      </c>
      <c r="D79" s="8" t="s">
        <v>1555</v>
      </c>
      <c r="E79">
        <f t="shared" si="2"/>
        <v>4000000076</v>
      </c>
      <c r="F79">
        <v>4</v>
      </c>
      <c r="J79">
        <f t="shared" si="3"/>
        <v>20000000076</v>
      </c>
      <c r="K79">
        <v>76</v>
      </c>
    </row>
    <row r="80" spans="1:11" x14ac:dyDescent="0.25">
      <c r="A80" s="8" t="s">
        <v>13</v>
      </c>
      <c r="B80" s="8" t="s">
        <v>122</v>
      </c>
      <c r="C80" s="8" t="s">
        <v>13</v>
      </c>
      <c r="D80" s="8" t="s">
        <v>1556</v>
      </c>
      <c r="E80">
        <f t="shared" si="2"/>
        <v>4000000077</v>
      </c>
      <c r="F80">
        <v>4</v>
      </c>
      <c r="J80">
        <f t="shared" si="3"/>
        <v>20000000077</v>
      </c>
      <c r="K80">
        <v>77</v>
      </c>
    </row>
    <row r="81" spans="1:11" x14ac:dyDescent="0.25">
      <c r="A81" s="8" t="s">
        <v>13</v>
      </c>
      <c r="B81" s="8" t="s">
        <v>123</v>
      </c>
      <c r="C81" s="8" t="s">
        <v>13</v>
      </c>
      <c r="D81" s="8" t="s">
        <v>1557</v>
      </c>
      <c r="E81">
        <f t="shared" si="2"/>
        <v>4000000078</v>
      </c>
      <c r="F81">
        <v>4</v>
      </c>
      <c r="J81">
        <f t="shared" si="3"/>
        <v>20000000078</v>
      </c>
      <c r="K81">
        <v>78</v>
      </c>
    </row>
    <row r="82" spans="1:11" x14ac:dyDescent="0.25">
      <c r="A82" s="8" t="s">
        <v>13</v>
      </c>
      <c r="B82" s="8" t="s">
        <v>124</v>
      </c>
      <c r="C82" s="8" t="s">
        <v>13</v>
      </c>
      <c r="D82" s="8" t="s">
        <v>1558</v>
      </c>
      <c r="E82">
        <f t="shared" si="2"/>
        <v>4000000079</v>
      </c>
      <c r="F82">
        <v>4</v>
      </c>
      <c r="J82">
        <f t="shared" si="3"/>
        <v>20000000079</v>
      </c>
      <c r="K82">
        <v>79</v>
      </c>
    </row>
    <row r="83" spans="1:11" x14ac:dyDescent="0.25">
      <c r="A83" s="8" t="s">
        <v>125</v>
      </c>
      <c r="B83" s="8">
        <v>1005</v>
      </c>
      <c r="C83" s="8" t="s">
        <v>125</v>
      </c>
      <c r="D83" s="8" t="s">
        <v>1559</v>
      </c>
      <c r="E83">
        <f t="shared" si="2"/>
        <v>4000000080</v>
      </c>
      <c r="F83">
        <v>4</v>
      </c>
      <c r="J83">
        <f t="shared" si="3"/>
        <v>20000000080</v>
      </c>
      <c r="K83">
        <v>80</v>
      </c>
    </row>
    <row r="84" spans="1:11" x14ac:dyDescent="0.25">
      <c r="A84" s="8" t="s">
        <v>125</v>
      </c>
      <c r="B84" s="8">
        <v>1026</v>
      </c>
      <c r="C84" s="8" t="s">
        <v>125</v>
      </c>
      <c r="D84" s="8" t="s">
        <v>1560</v>
      </c>
      <c r="E84">
        <f t="shared" si="2"/>
        <v>4000000081</v>
      </c>
      <c r="F84">
        <v>4</v>
      </c>
      <c r="J84">
        <f t="shared" si="3"/>
        <v>20000000081</v>
      </c>
      <c r="K84">
        <v>81</v>
      </c>
    </row>
    <row r="85" spans="1:11" x14ac:dyDescent="0.25">
      <c r="A85" s="8" t="s">
        <v>125</v>
      </c>
      <c r="B85" s="8">
        <v>1027</v>
      </c>
      <c r="C85" s="8" t="s">
        <v>125</v>
      </c>
      <c r="D85" s="8" t="s">
        <v>1561</v>
      </c>
      <c r="E85">
        <f t="shared" si="2"/>
        <v>4000000082</v>
      </c>
      <c r="F85">
        <v>4</v>
      </c>
      <c r="J85">
        <f t="shared" si="3"/>
        <v>20000000082</v>
      </c>
      <c r="K85">
        <v>82</v>
      </c>
    </row>
    <row r="86" spans="1:11" x14ac:dyDescent="0.25">
      <c r="A86" s="8" t="s">
        <v>125</v>
      </c>
      <c r="B86" s="8" t="s">
        <v>1038</v>
      </c>
      <c r="C86" s="8" t="s">
        <v>125</v>
      </c>
      <c r="D86" s="8" t="s">
        <v>1562</v>
      </c>
      <c r="E86">
        <f t="shared" si="2"/>
        <v>4000000083</v>
      </c>
      <c r="F86">
        <v>4</v>
      </c>
      <c r="J86">
        <f t="shared" si="3"/>
        <v>20000000083</v>
      </c>
      <c r="K86">
        <v>83</v>
      </c>
    </row>
    <row r="87" spans="1:11" x14ac:dyDescent="0.25">
      <c r="A87" s="8" t="s">
        <v>125</v>
      </c>
      <c r="B87" s="8">
        <v>1063</v>
      </c>
      <c r="C87" s="8" t="s">
        <v>125</v>
      </c>
      <c r="D87" s="8" t="s">
        <v>1563</v>
      </c>
      <c r="E87">
        <f t="shared" si="2"/>
        <v>4000000084</v>
      </c>
      <c r="F87">
        <v>4</v>
      </c>
      <c r="J87">
        <f t="shared" si="3"/>
        <v>20000000084</v>
      </c>
      <c r="K87">
        <v>84</v>
      </c>
    </row>
    <row r="88" spans="1:11" x14ac:dyDescent="0.25">
      <c r="A88" s="8" t="s">
        <v>125</v>
      </c>
      <c r="B88" s="8">
        <v>142</v>
      </c>
      <c r="C88" s="8" t="s">
        <v>125</v>
      </c>
      <c r="D88" s="8" t="s">
        <v>1564</v>
      </c>
      <c r="E88">
        <f t="shared" si="2"/>
        <v>4000000085</v>
      </c>
      <c r="F88">
        <v>4</v>
      </c>
      <c r="J88">
        <f t="shared" si="3"/>
        <v>20000000085</v>
      </c>
      <c r="K88">
        <v>85</v>
      </c>
    </row>
    <row r="89" spans="1:11" x14ac:dyDescent="0.25">
      <c r="A89" s="8" t="s">
        <v>125</v>
      </c>
      <c r="B89" s="8">
        <v>143</v>
      </c>
      <c r="C89" s="8" t="s">
        <v>125</v>
      </c>
      <c r="D89" s="8" t="s">
        <v>1565</v>
      </c>
      <c r="E89">
        <f t="shared" si="2"/>
        <v>4000000086</v>
      </c>
      <c r="F89">
        <v>4</v>
      </c>
      <c r="J89">
        <f t="shared" si="3"/>
        <v>20000000086</v>
      </c>
      <c r="K89">
        <v>86</v>
      </c>
    </row>
    <row r="90" spans="1:11" x14ac:dyDescent="0.25">
      <c r="A90" s="8" t="s">
        <v>125</v>
      </c>
      <c r="B90" s="8" t="s">
        <v>1039</v>
      </c>
      <c r="C90" s="8" t="s">
        <v>125</v>
      </c>
      <c r="D90" s="8" t="s">
        <v>1566</v>
      </c>
      <c r="E90">
        <f t="shared" si="2"/>
        <v>4000000087</v>
      </c>
      <c r="F90">
        <v>4</v>
      </c>
      <c r="J90">
        <f t="shared" si="3"/>
        <v>20000000087</v>
      </c>
      <c r="K90">
        <v>87</v>
      </c>
    </row>
    <row r="91" spans="1:11" x14ac:dyDescent="0.25">
      <c r="A91" s="8" t="s">
        <v>125</v>
      </c>
      <c r="B91" s="8" t="s">
        <v>659</v>
      </c>
      <c r="C91" s="8" t="s">
        <v>125</v>
      </c>
      <c r="D91" s="8" t="s">
        <v>1567</v>
      </c>
      <c r="E91">
        <f t="shared" si="2"/>
        <v>4000000088</v>
      </c>
      <c r="F91">
        <v>4</v>
      </c>
      <c r="J91">
        <f t="shared" si="3"/>
        <v>20000000088</v>
      </c>
      <c r="K91">
        <v>88</v>
      </c>
    </row>
    <row r="92" spans="1:11" x14ac:dyDescent="0.25">
      <c r="A92" s="8" t="s">
        <v>125</v>
      </c>
      <c r="B92" s="8" t="s">
        <v>1040</v>
      </c>
      <c r="C92" s="8" t="s">
        <v>125</v>
      </c>
      <c r="D92" s="8" t="s">
        <v>1568</v>
      </c>
      <c r="E92">
        <f t="shared" si="2"/>
        <v>4000000089</v>
      </c>
      <c r="F92">
        <v>4</v>
      </c>
      <c r="J92">
        <f t="shared" si="3"/>
        <v>20000000089</v>
      </c>
      <c r="K92">
        <v>89</v>
      </c>
    </row>
    <row r="93" spans="1:11" x14ac:dyDescent="0.25">
      <c r="A93" s="8" t="s">
        <v>125</v>
      </c>
      <c r="B93" s="8" t="s">
        <v>1041</v>
      </c>
      <c r="C93" s="8" t="s">
        <v>125</v>
      </c>
      <c r="D93" s="8" t="s">
        <v>1569</v>
      </c>
      <c r="E93">
        <f t="shared" si="2"/>
        <v>4000000090</v>
      </c>
      <c r="F93">
        <v>4</v>
      </c>
      <c r="J93">
        <f t="shared" si="3"/>
        <v>20000000090</v>
      </c>
      <c r="K93">
        <v>90</v>
      </c>
    </row>
    <row r="94" spans="1:11" x14ac:dyDescent="0.25">
      <c r="A94" s="8" t="s">
        <v>125</v>
      </c>
      <c r="B94" s="8">
        <v>1693</v>
      </c>
      <c r="C94" s="8" t="s">
        <v>125</v>
      </c>
      <c r="D94" s="8" t="s">
        <v>1517</v>
      </c>
      <c r="E94">
        <f t="shared" si="2"/>
        <v>4000000091</v>
      </c>
      <c r="F94">
        <v>4</v>
      </c>
      <c r="J94">
        <f t="shared" si="3"/>
        <v>20000000091</v>
      </c>
      <c r="K94">
        <v>91</v>
      </c>
    </row>
    <row r="95" spans="1:11" x14ac:dyDescent="0.25">
      <c r="A95" s="8" t="s">
        <v>125</v>
      </c>
      <c r="B95" s="8">
        <v>192</v>
      </c>
      <c r="C95" s="8" t="s">
        <v>125</v>
      </c>
      <c r="D95" s="8" t="s">
        <v>1570</v>
      </c>
      <c r="E95">
        <f t="shared" si="2"/>
        <v>4000000092</v>
      </c>
      <c r="F95">
        <v>4</v>
      </c>
      <c r="J95">
        <f t="shared" si="3"/>
        <v>20000000092</v>
      </c>
      <c r="K95">
        <v>92</v>
      </c>
    </row>
    <row r="96" spans="1:11" x14ac:dyDescent="0.25">
      <c r="A96" s="8" t="s">
        <v>125</v>
      </c>
      <c r="B96" s="8">
        <v>2110</v>
      </c>
      <c r="C96" s="8" t="s">
        <v>125</v>
      </c>
      <c r="D96" s="8" t="s">
        <v>1571</v>
      </c>
      <c r="E96">
        <f t="shared" si="2"/>
        <v>4000000093</v>
      </c>
      <c r="F96">
        <v>4</v>
      </c>
      <c r="J96">
        <f t="shared" si="3"/>
        <v>20000000093</v>
      </c>
      <c r="K96">
        <v>93</v>
      </c>
    </row>
    <row r="97" spans="1:11" x14ac:dyDescent="0.25">
      <c r="A97" s="8" t="s">
        <v>125</v>
      </c>
      <c r="B97" s="8">
        <v>2120</v>
      </c>
      <c r="C97" s="8" t="s">
        <v>125</v>
      </c>
      <c r="D97" s="8" t="s">
        <v>1572</v>
      </c>
      <c r="E97">
        <f t="shared" si="2"/>
        <v>4000000094</v>
      </c>
      <c r="F97">
        <v>4</v>
      </c>
      <c r="J97">
        <f t="shared" si="3"/>
        <v>20000000094</v>
      </c>
      <c r="K97">
        <v>94</v>
      </c>
    </row>
    <row r="98" spans="1:11" x14ac:dyDescent="0.25">
      <c r="A98" s="8" t="s">
        <v>125</v>
      </c>
      <c r="B98" s="8" t="s">
        <v>1042</v>
      </c>
      <c r="C98" s="8" t="s">
        <v>125</v>
      </c>
      <c r="D98" s="8" t="s">
        <v>1573</v>
      </c>
      <c r="E98">
        <f t="shared" si="2"/>
        <v>4000000095</v>
      </c>
      <c r="F98">
        <v>4</v>
      </c>
      <c r="J98">
        <f t="shared" si="3"/>
        <v>20000000095</v>
      </c>
      <c r="K98">
        <v>95</v>
      </c>
    </row>
    <row r="99" spans="1:11" x14ac:dyDescent="0.25">
      <c r="A99" s="8" t="s">
        <v>125</v>
      </c>
      <c r="B99" s="8" t="s">
        <v>1043</v>
      </c>
      <c r="C99" s="8" t="s">
        <v>125</v>
      </c>
      <c r="D99" s="8" t="s">
        <v>1574</v>
      </c>
      <c r="E99">
        <f t="shared" si="2"/>
        <v>4000000096</v>
      </c>
      <c r="F99">
        <v>4</v>
      </c>
      <c r="J99">
        <f t="shared" si="3"/>
        <v>20000000096</v>
      </c>
      <c r="K99">
        <v>96</v>
      </c>
    </row>
    <row r="100" spans="1:11" x14ac:dyDescent="0.25">
      <c r="A100" s="8" t="s">
        <v>125</v>
      </c>
      <c r="B100" s="8" t="s">
        <v>1044</v>
      </c>
      <c r="C100" s="8" t="s">
        <v>125</v>
      </c>
      <c r="D100" s="8" t="s">
        <v>1575</v>
      </c>
      <c r="E100">
        <f t="shared" si="2"/>
        <v>4000000097</v>
      </c>
      <c r="F100">
        <v>4</v>
      </c>
      <c r="J100">
        <f t="shared" si="3"/>
        <v>20000000097</v>
      </c>
      <c r="K100">
        <v>97</v>
      </c>
    </row>
    <row r="101" spans="1:11" x14ac:dyDescent="0.25">
      <c r="A101" s="8" t="s">
        <v>125</v>
      </c>
      <c r="B101" s="8" t="s">
        <v>1045</v>
      </c>
      <c r="C101" s="8" t="s">
        <v>125</v>
      </c>
      <c r="D101" s="8" t="s">
        <v>1576</v>
      </c>
      <c r="E101">
        <f t="shared" si="2"/>
        <v>4000000098</v>
      </c>
      <c r="F101">
        <v>4</v>
      </c>
      <c r="J101">
        <f t="shared" si="3"/>
        <v>20000000098</v>
      </c>
      <c r="K101">
        <v>98</v>
      </c>
    </row>
    <row r="102" spans="1:11" x14ac:dyDescent="0.25">
      <c r="A102" s="8" t="s">
        <v>125</v>
      </c>
      <c r="B102" s="8" t="s">
        <v>1046</v>
      </c>
      <c r="C102" s="8" t="s">
        <v>125</v>
      </c>
      <c r="D102" s="8" t="s">
        <v>1577</v>
      </c>
      <c r="E102">
        <f t="shared" si="2"/>
        <v>4000000099</v>
      </c>
      <c r="F102">
        <v>4</v>
      </c>
      <c r="J102">
        <f t="shared" si="3"/>
        <v>20000000099</v>
      </c>
      <c r="K102">
        <v>99</v>
      </c>
    </row>
    <row r="103" spans="1:11" x14ac:dyDescent="0.25">
      <c r="A103" s="8" t="s">
        <v>125</v>
      </c>
      <c r="B103" s="8" t="s">
        <v>1047</v>
      </c>
      <c r="C103" s="8" t="s">
        <v>125</v>
      </c>
      <c r="D103" s="8" t="s">
        <v>1578</v>
      </c>
      <c r="E103">
        <f t="shared" si="2"/>
        <v>4000000100</v>
      </c>
      <c r="F103">
        <v>4</v>
      </c>
      <c r="J103">
        <f t="shared" si="3"/>
        <v>20000000100</v>
      </c>
      <c r="K103">
        <v>100</v>
      </c>
    </row>
    <row r="104" spans="1:11" x14ac:dyDescent="0.25">
      <c r="A104" s="8" t="s">
        <v>125</v>
      </c>
      <c r="B104" s="8" t="s">
        <v>1048</v>
      </c>
      <c r="C104" s="8" t="s">
        <v>125</v>
      </c>
      <c r="D104" s="8" t="s">
        <v>1579</v>
      </c>
      <c r="E104">
        <f t="shared" si="2"/>
        <v>4000000101</v>
      </c>
      <c r="F104">
        <v>4</v>
      </c>
      <c r="J104">
        <f t="shared" si="3"/>
        <v>20000000101</v>
      </c>
      <c r="K104">
        <v>101</v>
      </c>
    </row>
    <row r="105" spans="1:11" x14ac:dyDescent="0.25">
      <c r="A105" s="8" t="s">
        <v>125</v>
      </c>
      <c r="B105" s="8" t="s">
        <v>916</v>
      </c>
      <c r="C105" s="8" t="s">
        <v>125</v>
      </c>
      <c r="D105" s="8" t="s">
        <v>1580</v>
      </c>
      <c r="E105">
        <f t="shared" si="2"/>
        <v>4000000102</v>
      </c>
      <c r="F105">
        <v>4</v>
      </c>
      <c r="J105">
        <f t="shared" si="3"/>
        <v>20000000102</v>
      </c>
      <c r="K105">
        <v>102</v>
      </c>
    </row>
    <row r="106" spans="1:11" x14ac:dyDescent="0.25">
      <c r="A106" s="8" t="s">
        <v>125</v>
      </c>
      <c r="B106" s="8" t="s">
        <v>917</v>
      </c>
      <c r="C106" s="8" t="s">
        <v>125</v>
      </c>
      <c r="D106" s="8" t="s">
        <v>1581</v>
      </c>
      <c r="E106">
        <f t="shared" si="2"/>
        <v>4000000103</v>
      </c>
      <c r="F106">
        <v>4</v>
      </c>
      <c r="J106">
        <f t="shared" si="3"/>
        <v>20000000103</v>
      </c>
      <c r="K106">
        <v>103</v>
      </c>
    </row>
    <row r="107" spans="1:11" x14ac:dyDescent="0.25">
      <c r="A107" s="8" t="s">
        <v>125</v>
      </c>
      <c r="B107" s="8" t="s">
        <v>918</v>
      </c>
      <c r="C107" s="8" t="s">
        <v>125</v>
      </c>
      <c r="D107" s="8" t="s">
        <v>1582</v>
      </c>
      <c r="E107">
        <f t="shared" si="2"/>
        <v>4000000104</v>
      </c>
      <c r="F107">
        <v>4</v>
      </c>
      <c r="J107">
        <f t="shared" si="3"/>
        <v>20000000104</v>
      </c>
      <c r="K107">
        <v>104</v>
      </c>
    </row>
    <row r="108" spans="1:11" x14ac:dyDescent="0.25">
      <c r="A108" s="8" t="s">
        <v>125</v>
      </c>
      <c r="B108" s="8" t="s">
        <v>919</v>
      </c>
      <c r="C108" s="8" t="s">
        <v>125</v>
      </c>
      <c r="D108" s="8" t="s">
        <v>1583</v>
      </c>
      <c r="E108">
        <f t="shared" si="2"/>
        <v>4000000105</v>
      </c>
      <c r="F108">
        <v>4</v>
      </c>
      <c r="J108">
        <f t="shared" si="3"/>
        <v>20000000105</v>
      </c>
      <c r="K108">
        <v>105</v>
      </c>
    </row>
    <row r="109" spans="1:11" x14ac:dyDescent="0.25">
      <c r="A109" s="8" t="s">
        <v>125</v>
      </c>
      <c r="B109" s="8" t="s">
        <v>920</v>
      </c>
      <c r="C109" s="8" t="s">
        <v>125</v>
      </c>
      <c r="D109" s="8" t="s">
        <v>1584</v>
      </c>
      <c r="E109">
        <f t="shared" si="2"/>
        <v>4000000106</v>
      </c>
      <c r="F109">
        <v>4</v>
      </c>
      <c r="J109">
        <f t="shared" si="3"/>
        <v>20000000106</v>
      </c>
      <c r="K109">
        <v>106</v>
      </c>
    </row>
    <row r="110" spans="1:11" x14ac:dyDescent="0.25">
      <c r="A110" s="8" t="s">
        <v>125</v>
      </c>
      <c r="B110" s="8" t="s">
        <v>921</v>
      </c>
      <c r="C110" s="8" t="s">
        <v>125</v>
      </c>
      <c r="D110" s="8" t="s">
        <v>1585</v>
      </c>
      <c r="E110">
        <f t="shared" si="2"/>
        <v>4000000107</v>
      </c>
      <c r="F110">
        <v>4</v>
      </c>
      <c r="J110">
        <f t="shared" si="3"/>
        <v>20000000107</v>
      </c>
      <c r="K110">
        <v>107</v>
      </c>
    </row>
    <row r="111" spans="1:11" x14ac:dyDescent="0.25">
      <c r="A111" s="8" t="s">
        <v>125</v>
      </c>
      <c r="B111" s="8" t="s">
        <v>1049</v>
      </c>
      <c r="C111" s="8" t="s">
        <v>125</v>
      </c>
      <c r="D111" s="8" t="s">
        <v>1586</v>
      </c>
      <c r="E111">
        <f t="shared" si="2"/>
        <v>4000000108</v>
      </c>
      <c r="F111">
        <v>4</v>
      </c>
      <c r="J111">
        <f t="shared" si="3"/>
        <v>20000000108</v>
      </c>
      <c r="K111">
        <v>108</v>
      </c>
    </row>
    <row r="112" spans="1:11" x14ac:dyDescent="0.25">
      <c r="A112" s="8" t="s">
        <v>125</v>
      </c>
      <c r="B112" s="8" t="s">
        <v>1050</v>
      </c>
      <c r="C112" s="8" t="s">
        <v>125</v>
      </c>
      <c r="D112" s="8" t="s">
        <v>1587</v>
      </c>
      <c r="E112">
        <f t="shared" si="2"/>
        <v>4000000109</v>
      </c>
      <c r="F112">
        <v>4</v>
      </c>
      <c r="J112">
        <f t="shared" si="3"/>
        <v>20000000109</v>
      </c>
      <c r="K112">
        <v>109</v>
      </c>
    </row>
    <row r="113" spans="1:11" x14ac:dyDescent="0.25">
      <c r="A113" s="8" t="s">
        <v>125</v>
      </c>
      <c r="B113" s="8" t="s">
        <v>1051</v>
      </c>
      <c r="C113" s="8" t="s">
        <v>125</v>
      </c>
      <c r="D113" s="8" t="s">
        <v>1588</v>
      </c>
      <c r="E113">
        <f t="shared" si="2"/>
        <v>4000000110</v>
      </c>
      <c r="F113">
        <v>4</v>
      </c>
      <c r="J113">
        <f t="shared" si="3"/>
        <v>20000000110</v>
      </c>
      <c r="K113">
        <v>110</v>
      </c>
    </row>
    <row r="114" spans="1:11" x14ac:dyDescent="0.25">
      <c r="A114" s="8" t="s">
        <v>125</v>
      </c>
      <c r="B114" s="8" t="s">
        <v>126</v>
      </c>
      <c r="C114" s="8" t="s">
        <v>125</v>
      </c>
      <c r="D114" s="8" t="s">
        <v>1589</v>
      </c>
      <c r="E114">
        <f t="shared" si="2"/>
        <v>4000000111</v>
      </c>
      <c r="F114">
        <v>4</v>
      </c>
      <c r="J114">
        <f t="shared" si="3"/>
        <v>20000000111</v>
      </c>
      <c r="K114">
        <v>111</v>
      </c>
    </row>
    <row r="115" spans="1:11" x14ac:dyDescent="0.25">
      <c r="A115" s="8" t="s">
        <v>125</v>
      </c>
      <c r="B115" s="8" t="s">
        <v>1052</v>
      </c>
      <c r="C115" s="8" t="s">
        <v>125</v>
      </c>
      <c r="D115" s="8" t="s">
        <v>1590</v>
      </c>
      <c r="E115">
        <f t="shared" si="2"/>
        <v>4000000112</v>
      </c>
      <c r="F115">
        <v>4</v>
      </c>
      <c r="J115">
        <f t="shared" si="3"/>
        <v>20000000112</v>
      </c>
      <c r="K115">
        <v>112</v>
      </c>
    </row>
    <row r="116" spans="1:11" x14ac:dyDescent="0.25">
      <c r="A116" s="8" t="s">
        <v>125</v>
      </c>
      <c r="B116" s="8" t="s">
        <v>1053</v>
      </c>
      <c r="C116" s="8" t="s">
        <v>125</v>
      </c>
      <c r="D116" s="8" t="s">
        <v>1591</v>
      </c>
      <c r="E116">
        <f t="shared" si="2"/>
        <v>4000000113</v>
      </c>
      <c r="F116">
        <v>4</v>
      </c>
      <c r="J116">
        <f t="shared" si="3"/>
        <v>20000000113</v>
      </c>
      <c r="K116">
        <v>113</v>
      </c>
    </row>
    <row r="117" spans="1:11" x14ac:dyDescent="0.25">
      <c r="A117" s="8" t="s">
        <v>125</v>
      </c>
      <c r="B117" s="8" t="s">
        <v>1054</v>
      </c>
      <c r="C117" s="8" t="s">
        <v>125</v>
      </c>
      <c r="D117" s="8" t="s">
        <v>1592</v>
      </c>
      <c r="E117">
        <f t="shared" si="2"/>
        <v>4000000114</v>
      </c>
      <c r="F117">
        <v>4</v>
      </c>
      <c r="J117">
        <f t="shared" si="3"/>
        <v>20000000114</v>
      </c>
      <c r="K117">
        <v>114</v>
      </c>
    </row>
    <row r="118" spans="1:11" x14ac:dyDescent="0.25">
      <c r="A118" s="8" t="s">
        <v>125</v>
      </c>
      <c r="B118" s="8" t="s">
        <v>1055</v>
      </c>
      <c r="C118" s="8" t="s">
        <v>125</v>
      </c>
      <c r="D118" s="8" t="s">
        <v>1593</v>
      </c>
      <c r="E118">
        <f t="shared" si="2"/>
        <v>4000000115</v>
      </c>
      <c r="F118">
        <v>4</v>
      </c>
      <c r="J118">
        <f t="shared" si="3"/>
        <v>20000000115</v>
      </c>
      <c r="K118">
        <v>115</v>
      </c>
    </row>
    <row r="119" spans="1:11" x14ac:dyDescent="0.25">
      <c r="A119" s="8" t="s">
        <v>125</v>
      </c>
      <c r="B119" s="8" t="s">
        <v>1056</v>
      </c>
      <c r="C119" s="8" t="s">
        <v>125</v>
      </c>
      <c r="D119" s="8" t="s">
        <v>1594</v>
      </c>
      <c r="E119">
        <f t="shared" si="2"/>
        <v>4000000116</v>
      </c>
      <c r="F119">
        <v>4</v>
      </c>
      <c r="J119">
        <f t="shared" si="3"/>
        <v>20000000116</v>
      </c>
      <c r="K119">
        <v>116</v>
      </c>
    </row>
    <row r="120" spans="1:11" x14ac:dyDescent="0.25">
      <c r="A120" s="8" t="s">
        <v>125</v>
      </c>
      <c r="B120" s="8" t="s">
        <v>1057</v>
      </c>
      <c r="C120" s="8" t="s">
        <v>125</v>
      </c>
      <c r="D120" s="8" t="s">
        <v>1595</v>
      </c>
      <c r="E120">
        <f t="shared" si="2"/>
        <v>4000000117</v>
      </c>
      <c r="F120">
        <v>4</v>
      </c>
      <c r="J120">
        <f t="shared" si="3"/>
        <v>20000000117</v>
      </c>
      <c r="K120">
        <v>117</v>
      </c>
    </row>
    <row r="121" spans="1:11" x14ac:dyDescent="0.25">
      <c r="A121" s="8" t="s">
        <v>125</v>
      </c>
      <c r="B121" s="8" t="s">
        <v>1058</v>
      </c>
      <c r="C121" s="8" t="s">
        <v>125</v>
      </c>
      <c r="D121" s="8" t="s">
        <v>1596</v>
      </c>
      <c r="E121">
        <f t="shared" si="2"/>
        <v>4000000118</v>
      </c>
      <c r="F121">
        <v>4</v>
      </c>
      <c r="J121">
        <f t="shared" si="3"/>
        <v>20000000118</v>
      </c>
      <c r="K121">
        <v>118</v>
      </c>
    </row>
    <row r="122" spans="1:11" x14ac:dyDescent="0.25">
      <c r="A122" s="8" t="s">
        <v>125</v>
      </c>
      <c r="B122" s="8" t="s">
        <v>1059</v>
      </c>
      <c r="C122" s="8" t="s">
        <v>125</v>
      </c>
      <c r="D122" s="8" t="s">
        <v>1597</v>
      </c>
      <c r="E122">
        <f t="shared" si="2"/>
        <v>4000000119</v>
      </c>
      <c r="F122">
        <v>4</v>
      </c>
      <c r="J122">
        <f t="shared" si="3"/>
        <v>20000000119</v>
      </c>
      <c r="K122">
        <v>119</v>
      </c>
    </row>
    <row r="123" spans="1:11" x14ac:dyDescent="0.25">
      <c r="A123" s="8" t="s">
        <v>125</v>
      </c>
      <c r="B123" s="8" t="s">
        <v>1060</v>
      </c>
      <c r="C123" s="8" t="s">
        <v>125</v>
      </c>
      <c r="D123" s="8" t="s">
        <v>1598</v>
      </c>
      <c r="E123">
        <f t="shared" si="2"/>
        <v>4000000120</v>
      </c>
      <c r="F123">
        <v>4</v>
      </c>
      <c r="J123">
        <f t="shared" si="3"/>
        <v>20000000120</v>
      </c>
      <c r="K123">
        <v>120</v>
      </c>
    </row>
    <row r="124" spans="1:11" x14ac:dyDescent="0.25">
      <c r="A124" s="8" t="s">
        <v>125</v>
      </c>
      <c r="B124" s="8" t="s">
        <v>1061</v>
      </c>
      <c r="C124" s="8" t="s">
        <v>125</v>
      </c>
      <c r="D124" s="8" t="s">
        <v>1599</v>
      </c>
      <c r="E124">
        <f t="shared" si="2"/>
        <v>4000000121</v>
      </c>
      <c r="F124">
        <v>4</v>
      </c>
      <c r="J124">
        <f t="shared" si="3"/>
        <v>20000000121</v>
      </c>
      <c r="K124">
        <v>121</v>
      </c>
    </row>
    <row r="125" spans="1:11" x14ac:dyDescent="0.25">
      <c r="A125" s="8" t="s">
        <v>125</v>
      </c>
      <c r="B125" s="8" t="s">
        <v>1062</v>
      </c>
      <c r="C125" s="8" t="s">
        <v>125</v>
      </c>
      <c r="D125" s="8" t="s">
        <v>1600</v>
      </c>
      <c r="E125">
        <f t="shared" si="2"/>
        <v>4000000122</v>
      </c>
      <c r="F125">
        <v>4</v>
      </c>
      <c r="J125">
        <f t="shared" si="3"/>
        <v>20000000122</v>
      </c>
      <c r="K125">
        <v>122</v>
      </c>
    </row>
    <row r="126" spans="1:11" x14ac:dyDescent="0.25">
      <c r="A126" s="8" t="s">
        <v>127</v>
      </c>
      <c r="B126" s="8" t="s">
        <v>922</v>
      </c>
      <c r="C126" s="8" t="s">
        <v>127</v>
      </c>
      <c r="D126" s="8" t="s">
        <v>1601</v>
      </c>
      <c r="E126">
        <f t="shared" si="2"/>
        <v>4000000123</v>
      </c>
      <c r="F126">
        <v>4</v>
      </c>
      <c r="J126">
        <f t="shared" si="3"/>
        <v>20000000123</v>
      </c>
      <c r="K126">
        <v>123</v>
      </c>
    </row>
    <row r="127" spans="1:11" x14ac:dyDescent="0.25">
      <c r="A127" s="8" t="s">
        <v>127</v>
      </c>
      <c r="B127" s="8" t="s">
        <v>1063</v>
      </c>
      <c r="C127" s="8" t="s">
        <v>127</v>
      </c>
      <c r="D127" s="8" t="s">
        <v>1602</v>
      </c>
      <c r="E127">
        <f t="shared" si="2"/>
        <v>4000000124</v>
      </c>
      <c r="F127">
        <v>4</v>
      </c>
      <c r="J127">
        <f t="shared" si="3"/>
        <v>20000000124</v>
      </c>
      <c r="K127">
        <v>124</v>
      </c>
    </row>
    <row r="128" spans="1:11" x14ac:dyDescent="0.25">
      <c r="A128" s="8" t="s">
        <v>127</v>
      </c>
      <c r="B128" s="8" t="s">
        <v>1064</v>
      </c>
      <c r="C128" s="8" t="s">
        <v>127</v>
      </c>
      <c r="D128" s="8" t="s">
        <v>1603</v>
      </c>
      <c r="E128">
        <f t="shared" si="2"/>
        <v>4000000125</v>
      </c>
      <c r="F128">
        <v>4</v>
      </c>
      <c r="J128">
        <f t="shared" si="3"/>
        <v>20000000125</v>
      </c>
      <c r="K128">
        <v>125</v>
      </c>
    </row>
    <row r="129" spans="1:11" x14ac:dyDescent="0.25">
      <c r="A129" s="8" t="s">
        <v>127</v>
      </c>
      <c r="B129" s="8" t="s">
        <v>1065</v>
      </c>
      <c r="C129" s="8" t="s">
        <v>127</v>
      </c>
      <c r="D129" s="8" t="s">
        <v>1604</v>
      </c>
      <c r="E129">
        <f t="shared" si="2"/>
        <v>4000000126</v>
      </c>
      <c r="F129">
        <v>4</v>
      </c>
      <c r="J129">
        <f t="shared" si="3"/>
        <v>20000000126</v>
      </c>
      <c r="K129">
        <v>126</v>
      </c>
    </row>
    <row r="130" spans="1:11" x14ac:dyDescent="0.25">
      <c r="A130" s="8" t="s">
        <v>127</v>
      </c>
      <c r="B130" s="8" t="s">
        <v>923</v>
      </c>
      <c r="C130" s="8" t="s">
        <v>127</v>
      </c>
      <c r="D130" s="8" t="s">
        <v>1605</v>
      </c>
      <c r="E130">
        <f t="shared" si="2"/>
        <v>4000000127</v>
      </c>
      <c r="F130">
        <v>4</v>
      </c>
      <c r="J130">
        <f t="shared" si="3"/>
        <v>20000000127</v>
      </c>
      <c r="K130">
        <v>127</v>
      </c>
    </row>
    <row r="131" spans="1:11" x14ac:dyDescent="0.25">
      <c r="A131" s="8" t="s">
        <v>127</v>
      </c>
      <c r="B131" s="8" t="s">
        <v>660</v>
      </c>
      <c r="C131" s="8" t="s">
        <v>127</v>
      </c>
      <c r="D131" s="8" t="s">
        <v>1606</v>
      </c>
      <c r="E131">
        <f t="shared" ref="E131:E194" si="4">IF(F131="",J131,IF(G131="",F131*$F$2+K131,IF(H131="",F131*$F$2+G131*$G$2+K131,IF(I131="",F131*$F$2+G131*$G$2+H131*$H$2+K131,F131*$F$2+G131*$G$2+H131*$H$2+I131*$I$2+K131))))</f>
        <v>4000000128</v>
      </c>
      <c r="F131">
        <v>4</v>
      </c>
      <c r="J131">
        <f t="shared" si="3"/>
        <v>20000000128</v>
      </c>
      <c r="K131">
        <v>128</v>
      </c>
    </row>
    <row r="132" spans="1:11" x14ac:dyDescent="0.25">
      <c r="A132" s="8" t="s">
        <v>127</v>
      </c>
      <c r="B132" s="8" t="s">
        <v>128</v>
      </c>
      <c r="C132" s="8" t="s">
        <v>127</v>
      </c>
      <c r="D132" s="8" t="s">
        <v>1607</v>
      </c>
      <c r="E132">
        <f t="shared" si="4"/>
        <v>4000000129</v>
      </c>
      <c r="F132">
        <v>4</v>
      </c>
      <c r="J132">
        <f t="shared" si="3"/>
        <v>20000000129</v>
      </c>
      <c r="K132">
        <v>129</v>
      </c>
    </row>
    <row r="133" spans="1:11" x14ac:dyDescent="0.25">
      <c r="A133" s="8" t="s">
        <v>127</v>
      </c>
      <c r="B133" s="8" t="s">
        <v>661</v>
      </c>
      <c r="C133" s="8" t="s">
        <v>127</v>
      </c>
      <c r="D133" s="8" t="s">
        <v>1608</v>
      </c>
      <c r="E133">
        <f t="shared" si="4"/>
        <v>4000000130</v>
      </c>
      <c r="F133">
        <v>4</v>
      </c>
      <c r="J133">
        <f t="shared" si="3"/>
        <v>20000000130</v>
      </c>
      <c r="K133">
        <v>130</v>
      </c>
    </row>
    <row r="134" spans="1:11" x14ac:dyDescent="0.25">
      <c r="A134" s="8" t="s">
        <v>127</v>
      </c>
      <c r="B134" s="8" t="s">
        <v>924</v>
      </c>
      <c r="C134" s="8" t="s">
        <v>127</v>
      </c>
      <c r="D134" s="8" t="s">
        <v>1609</v>
      </c>
      <c r="E134">
        <f t="shared" si="4"/>
        <v>4000000131</v>
      </c>
      <c r="F134">
        <v>4</v>
      </c>
      <c r="J134">
        <f t="shared" ref="J134:J197" si="5">J133+1</f>
        <v>20000000131</v>
      </c>
      <c r="K134">
        <v>131</v>
      </c>
    </row>
    <row r="135" spans="1:11" x14ac:dyDescent="0.25">
      <c r="A135" s="8" t="s">
        <v>1013</v>
      </c>
      <c r="B135" s="8" t="s">
        <v>729</v>
      </c>
      <c r="C135" s="8" t="s">
        <v>1013</v>
      </c>
      <c r="D135" s="8" t="s">
        <v>1610</v>
      </c>
      <c r="E135">
        <f t="shared" si="4"/>
        <v>4000000132</v>
      </c>
      <c r="F135">
        <v>4</v>
      </c>
      <c r="J135">
        <f t="shared" si="5"/>
        <v>20000000132</v>
      </c>
      <c r="K135">
        <v>132</v>
      </c>
    </row>
    <row r="136" spans="1:11" x14ac:dyDescent="0.25">
      <c r="A136" s="8" t="s">
        <v>130</v>
      </c>
      <c r="B136" s="8" t="s">
        <v>925</v>
      </c>
      <c r="C136" s="8" t="s">
        <v>130</v>
      </c>
      <c r="D136" s="8" t="s">
        <v>1611</v>
      </c>
      <c r="E136">
        <f t="shared" si="4"/>
        <v>2000000133</v>
      </c>
      <c r="F136">
        <v>2</v>
      </c>
      <c r="J136">
        <f t="shared" si="5"/>
        <v>20000000133</v>
      </c>
      <c r="K136">
        <v>133</v>
      </c>
    </row>
    <row r="137" spans="1:11" x14ac:dyDescent="0.25">
      <c r="A137" s="8" t="s">
        <v>130</v>
      </c>
      <c r="B137" s="8" t="s">
        <v>1066</v>
      </c>
      <c r="C137" s="8" t="s">
        <v>130</v>
      </c>
      <c r="D137" s="8" t="s">
        <v>1612</v>
      </c>
      <c r="E137">
        <f t="shared" si="4"/>
        <v>2000000134</v>
      </c>
      <c r="F137">
        <v>2</v>
      </c>
      <c r="J137">
        <f t="shared" si="5"/>
        <v>20000000134</v>
      </c>
      <c r="K137">
        <v>134</v>
      </c>
    </row>
    <row r="138" spans="1:11" x14ac:dyDescent="0.25">
      <c r="A138" s="8" t="s">
        <v>130</v>
      </c>
      <c r="B138" s="8" t="s">
        <v>1067</v>
      </c>
      <c r="C138" s="8" t="s">
        <v>130</v>
      </c>
      <c r="D138" s="8" t="s">
        <v>1613</v>
      </c>
      <c r="E138">
        <f t="shared" si="4"/>
        <v>2000000135</v>
      </c>
      <c r="F138">
        <v>2</v>
      </c>
      <c r="J138">
        <f t="shared" si="5"/>
        <v>20000000135</v>
      </c>
      <c r="K138">
        <v>135</v>
      </c>
    </row>
    <row r="139" spans="1:11" x14ac:dyDescent="0.25">
      <c r="A139" s="8" t="s">
        <v>130</v>
      </c>
      <c r="B139" s="8" t="s">
        <v>1068</v>
      </c>
      <c r="C139" s="8" t="s">
        <v>130</v>
      </c>
      <c r="D139" s="8" t="s">
        <v>1614</v>
      </c>
      <c r="E139">
        <f t="shared" si="4"/>
        <v>2000000136</v>
      </c>
      <c r="F139">
        <v>2</v>
      </c>
      <c r="J139">
        <f t="shared" si="5"/>
        <v>20000000136</v>
      </c>
      <c r="K139">
        <v>136</v>
      </c>
    </row>
    <row r="140" spans="1:11" x14ac:dyDescent="0.25">
      <c r="A140" s="8" t="s">
        <v>130</v>
      </c>
      <c r="B140" s="8" t="s">
        <v>2889</v>
      </c>
      <c r="C140" s="8" t="s">
        <v>130</v>
      </c>
      <c r="D140" s="8" t="s">
        <v>1615</v>
      </c>
      <c r="E140">
        <f t="shared" si="4"/>
        <v>2000000137</v>
      </c>
      <c r="F140">
        <v>2</v>
      </c>
      <c r="J140">
        <f t="shared" si="5"/>
        <v>20000000137</v>
      </c>
      <c r="K140">
        <v>137</v>
      </c>
    </row>
    <row r="141" spans="1:11" x14ac:dyDescent="0.25">
      <c r="A141" s="8" t="s">
        <v>130</v>
      </c>
      <c r="B141" s="8" t="s">
        <v>1069</v>
      </c>
      <c r="C141" s="8" t="s">
        <v>130</v>
      </c>
      <c r="D141" s="8" t="s">
        <v>1616</v>
      </c>
      <c r="E141">
        <f t="shared" si="4"/>
        <v>2000000138</v>
      </c>
      <c r="F141">
        <v>2</v>
      </c>
      <c r="J141">
        <f t="shared" si="5"/>
        <v>20000000138</v>
      </c>
      <c r="K141">
        <v>138</v>
      </c>
    </row>
    <row r="142" spans="1:11" x14ac:dyDescent="0.25">
      <c r="A142" s="8" t="s">
        <v>132</v>
      </c>
      <c r="B142" s="8" t="s">
        <v>133</v>
      </c>
      <c r="C142" s="8" t="s">
        <v>132</v>
      </c>
      <c r="D142" s="8" t="s">
        <v>1617</v>
      </c>
      <c r="E142">
        <f t="shared" si="4"/>
        <v>4000000139</v>
      </c>
      <c r="F142">
        <v>4</v>
      </c>
      <c r="J142">
        <f t="shared" si="5"/>
        <v>20000000139</v>
      </c>
      <c r="K142">
        <v>139</v>
      </c>
    </row>
    <row r="143" spans="1:11" x14ac:dyDescent="0.25">
      <c r="A143" s="8" t="s">
        <v>132</v>
      </c>
      <c r="B143" s="8" t="s">
        <v>935</v>
      </c>
      <c r="C143" s="8" t="s">
        <v>132</v>
      </c>
      <c r="D143" s="8" t="s">
        <v>1618</v>
      </c>
      <c r="E143">
        <f t="shared" si="4"/>
        <v>4000000140</v>
      </c>
      <c r="F143">
        <v>4</v>
      </c>
      <c r="J143">
        <f t="shared" si="5"/>
        <v>20000000140</v>
      </c>
      <c r="K143">
        <v>140</v>
      </c>
    </row>
    <row r="144" spans="1:11" x14ac:dyDescent="0.25">
      <c r="A144" s="8" t="s">
        <v>132</v>
      </c>
      <c r="B144" s="8" t="s">
        <v>936</v>
      </c>
      <c r="C144" s="8" t="s">
        <v>132</v>
      </c>
      <c r="D144" s="8" t="s">
        <v>1619</v>
      </c>
      <c r="E144">
        <f t="shared" si="4"/>
        <v>4000000141</v>
      </c>
      <c r="F144">
        <v>4</v>
      </c>
      <c r="J144">
        <f t="shared" si="5"/>
        <v>20000000141</v>
      </c>
      <c r="K144">
        <v>141</v>
      </c>
    </row>
    <row r="145" spans="1:11" x14ac:dyDescent="0.25">
      <c r="A145" s="8" t="s">
        <v>132</v>
      </c>
      <c r="B145" s="8" t="s">
        <v>937</v>
      </c>
      <c r="C145" s="8" t="s">
        <v>132</v>
      </c>
      <c r="D145" s="8" t="s">
        <v>1620</v>
      </c>
      <c r="E145">
        <f t="shared" si="4"/>
        <v>4000000142</v>
      </c>
      <c r="F145">
        <v>4</v>
      </c>
      <c r="J145">
        <f t="shared" si="5"/>
        <v>20000000142</v>
      </c>
      <c r="K145">
        <v>142</v>
      </c>
    </row>
    <row r="146" spans="1:11" x14ac:dyDescent="0.25">
      <c r="A146" s="8" t="s">
        <v>132</v>
      </c>
      <c r="B146" s="8" t="s">
        <v>134</v>
      </c>
      <c r="C146" s="8" t="s">
        <v>132</v>
      </c>
      <c r="D146" s="8" t="s">
        <v>1621</v>
      </c>
      <c r="E146">
        <f t="shared" si="4"/>
        <v>4000000143</v>
      </c>
      <c r="F146">
        <v>4</v>
      </c>
      <c r="J146">
        <f t="shared" si="5"/>
        <v>20000000143</v>
      </c>
      <c r="K146">
        <v>143</v>
      </c>
    </row>
    <row r="147" spans="1:11" x14ac:dyDescent="0.25">
      <c r="A147" s="8" t="s">
        <v>132</v>
      </c>
      <c r="B147" s="8" t="s">
        <v>938</v>
      </c>
      <c r="C147" s="8" t="s">
        <v>132</v>
      </c>
      <c r="D147" s="8" t="s">
        <v>1622</v>
      </c>
      <c r="E147">
        <f t="shared" si="4"/>
        <v>4000000144</v>
      </c>
      <c r="F147">
        <v>4</v>
      </c>
      <c r="J147">
        <f t="shared" si="5"/>
        <v>20000000144</v>
      </c>
      <c r="K147">
        <v>144</v>
      </c>
    </row>
    <row r="148" spans="1:11" x14ac:dyDescent="0.25">
      <c r="A148" s="8" t="s">
        <v>132</v>
      </c>
      <c r="B148" s="8" t="s">
        <v>135</v>
      </c>
      <c r="C148" s="8" t="s">
        <v>132</v>
      </c>
      <c r="D148" s="8" t="s">
        <v>1623</v>
      </c>
      <c r="E148">
        <f t="shared" si="4"/>
        <v>4000000145</v>
      </c>
      <c r="F148">
        <v>4</v>
      </c>
      <c r="J148">
        <f t="shared" si="5"/>
        <v>20000000145</v>
      </c>
      <c r="K148">
        <v>145</v>
      </c>
    </row>
    <row r="149" spans="1:11" x14ac:dyDescent="0.25">
      <c r="A149" s="8" t="s">
        <v>132</v>
      </c>
      <c r="B149" s="8" t="s">
        <v>939</v>
      </c>
      <c r="C149" s="8" t="s">
        <v>132</v>
      </c>
      <c r="D149" s="8" t="s">
        <v>1624</v>
      </c>
      <c r="E149">
        <f t="shared" si="4"/>
        <v>4000000146</v>
      </c>
      <c r="F149">
        <v>4</v>
      </c>
      <c r="J149">
        <f t="shared" si="5"/>
        <v>20000000146</v>
      </c>
      <c r="K149">
        <v>146</v>
      </c>
    </row>
    <row r="150" spans="1:11" x14ac:dyDescent="0.25">
      <c r="A150" s="8" t="s">
        <v>136</v>
      </c>
      <c r="B150" s="8" t="s">
        <v>1070</v>
      </c>
      <c r="C150" s="8" t="s">
        <v>136</v>
      </c>
      <c r="D150" s="8" t="s">
        <v>1625</v>
      </c>
      <c r="E150">
        <f t="shared" si="4"/>
        <v>1000000147</v>
      </c>
      <c r="F150">
        <v>1</v>
      </c>
      <c r="J150">
        <f t="shared" si="5"/>
        <v>20000000147</v>
      </c>
      <c r="K150">
        <v>147</v>
      </c>
    </row>
    <row r="151" spans="1:11" x14ac:dyDescent="0.25">
      <c r="A151" s="8" t="s">
        <v>136</v>
      </c>
      <c r="B151" s="8" t="s">
        <v>1071</v>
      </c>
      <c r="C151" s="8" t="s">
        <v>136</v>
      </c>
      <c r="D151" s="8" t="s">
        <v>1626</v>
      </c>
      <c r="E151">
        <f t="shared" si="4"/>
        <v>1000000148</v>
      </c>
      <c r="F151">
        <v>1</v>
      </c>
      <c r="J151">
        <f t="shared" si="5"/>
        <v>20000000148</v>
      </c>
      <c r="K151">
        <v>148</v>
      </c>
    </row>
    <row r="152" spans="1:11" x14ac:dyDescent="0.25">
      <c r="A152" s="8" t="s">
        <v>136</v>
      </c>
      <c r="B152" s="8" t="s">
        <v>137</v>
      </c>
      <c r="C152" s="8" t="s">
        <v>136</v>
      </c>
      <c r="D152" s="8" t="s">
        <v>1627</v>
      </c>
      <c r="E152">
        <f t="shared" si="4"/>
        <v>1000000149</v>
      </c>
      <c r="F152">
        <v>1</v>
      </c>
      <c r="J152">
        <f t="shared" si="5"/>
        <v>20000000149</v>
      </c>
      <c r="K152">
        <v>149</v>
      </c>
    </row>
    <row r="153" spans="1:11" x14ac:dyDescent="0.25">
      <c r="A153" s="8" t="s">
        <v>136</v>
      </c>
      <c r="B153" s="8" t="s">
        <v>1072</v>
      </c>
      <c r="C153" s="8" t="s">
        <v>136</v>
      </c>
      <c r="D153" s="8" t="s">
        <v>1628</v>
      </c>
      <c r="E153">
        <f t="shared" si="4"/>
        <v>1000000150</v>
      </c>
      <c r="F153">
        <v>1</v>
      </c>
      <c r="J153">
        <f t="shared" si="5"/>
        <v>20000000150</v>
      </c>
      <c r="K153">
        <v>150</v>
      </c>
    </row>
    <row r="154" spans="1:11" x14ac:dyDescent="0.25">
      <c r="A154" s="8" t="s">
        <v>136</v>
      </c>
      <c r="B154" s="8" t="s">
        <v>1073</v>
      </c>
      <c r="C154" s="8" t="s">
        <v>136</v>
      </c>
      <c r="D154" s="8" t="s">
        <v>1629</v>
      </c>
      <c r="E154">
        <f t="shared" si="4"/>
        <v>1000000151</v>
      </c>
      <c r="F154">
        <v>1</v>
      </c>
      <c r="J154">
        <f t="shared" si="5"/>
        <v>20000000151</v>
      </c>
      <c r="K154">
        <v>151</v>
      </c>
    </row>
    <row r="155" spans="1:11" x14ac:dyDescent="0.25">
      <c r="A155" s="8" t="s">
        <v>1014</v>
      </c>
      <c r="B155" s="8" t="s">
        <v>1074</v>
      </c>
      <c r="C155" s="8" t="s">
        <v>1014</v>
      </c>
      <c r="D155" s="8" t="s">
        <v>1630</v>
      </c>
      <c r="E155">
        <f t="shared" si="4"/>
        <v>1000000152</v>
      </c>
      <c r="F155">
        <v>1</v>
      </c>
      <c r="J155">
        <f t="shared" si="5"/>
        <v>20000000152</v>
      </c>
      <c r="K155">
        <v>152</v>
      </c>
    </row>
    <row r="156" spans="1:11" x14ac:dyDescent="0.25">
      <c r="A156" s="8" t="s">
        <v>1014</v>
      </c>
      <c r="B156" s="8" t="s">
        <v>895</v>
      </c>
      <c r="C156" s="8" t="s">
        <v>1014</v>
      </c>
      <c r="D156" s="8" t="s">
        <v>1631</v>
      </c>
      <c r="E156">
        <f t="shared" si="4"/>
        <v>1000000153</v>
      </c>
      <c r="F156">
        <v>1</v>
      </c>
      <c r="J156">
        <f t="shared" si="5"/>
        <v>20000000153</v>
      </c>
      <c r="K156">
        <v>153</v>
      </c>
    </row>
    <row r="157" spans="1:11" x14ac:dyDescent="0.25">
      <c r="A157" s="8" t="s">
        <v>1014</v>
      </c>
      <c r="B157" s="8" t="s">
        <v>896</v>
      </c>
      <c r="C157" s="8" t="s">
        <v>1014</v>
      </c>
      <c r="D157" s="8" t="s">
        <v>1632</v>
      </c>
      <c r="E157">
        <f t="shared" si="4"/>
        <v>1000000154</v>
      </c>
      <c r="F157">
        <v>1</v>
      </c>
      <c r="J157">
        <f t="shared" si="5"/>
        <v>20000000154</v>
      </c>
      <c r="K157">
        <v>154</v>
      </c>
    </row>
    <row r="158" spans="1:11" x14ac:dyDescent="0.25">
      <c r="A158" s="8" t="s">
        <v>1014</v>
      </c>
      <c r="B158" s="8" t="s">
        <v>897</v>
      </c>
      <c r="C158" s="8" t="s">
        <v>1014</v>
      </c>
      <c r="D158" s="8" t="s">
        <v>1633</v>
      </c>
      <c r="E158">
        <f t="shared" si="4"/>
        <v>1000000155</v>
      </c>
      <c r="F158">
        <v>1</v>
      </c>
      <c r="J158">
        <f t="shared" si="5"/>
        <v>20000000155</v>
      </c>
      <c r="K158">
        <v>155</v>
      </c>
    </row>
    <row r="159" spans="1:11" x14ac:dyDescent="0.25">
      <c r="A159" s="8" t="s">
        <v>1015</v>
      </c>
      <c r="B159" s="8" t="s">
        <v>926</v>
      </c>
      <c r="C159" s="8" t="s">
        <v>1015</v>
      </c>
      <c r="D159" s="8" t="s">
        <v>1634</v>
      </c>
      <c r="E159">
        <f t="shared" si="4"/>
        <v>6000000156</v>
      </c>
      <c r="F159">
        <v>6</v>
      </c>
      <c r="J159">
        <f t="shared" si="5"/>
        <v>20000000156</v>
      </c>
      <c r="K159">
        <v>156</v>
      </c>
    </row>
    <row r="160" spans="1:11" x14ac:dyDescent="0.25">
      <c r="A160" s="8" t="s">
        <v>1015</v>
      </c>
      <c r="B160" s="8" t="s">
        <v>927</v>
      </c>
      <c r="C160" s="8" t="s">
        <v>1015</v>
      </c>
      <c r="D160" s="8" t="s">
        <v>1635</v>
      </c>
      <c r="E160">
        <f t="shared" si="4"/>
        <v>6000000157</v>
      </c>
      <c r="F160">
        <v>6</v>
      </c>
      <c r="J160">
        <f t="shared" si="5"/>
        <v>20000000157</v>
      </c>
      <c r="K160">
        <v>157</v>
      </c>
    </row>
    <row r="161" spans="1:11" x14ac:dyDescent="0.25">
      <c r="A161" s="8" t="s">
        <v>1015</v>
      </c>
      <c r="B161" s="8" t="s">
        <v>732</v>
      </c>
      <c r="C161" s="8" t="s">
        <v>1015</v>
      </c>
      <c r="D161" s="8" t="s">
        <v>1636</v>
      </c>
      <c r="E161">
        <f t="shared" si="4"/>
        <v>6000000158</v>
      </c>
      <c r="F161">
        <v>6</v>
      </c>
      <c r="J161">
        <f t="shared" si="5"/>
        <v>20000000158</v>
      </c>
      <c r="K161">
        <v>158</v>
      </c>
    </row>
    <row r="162" spans="1:11" x14ac:dyDescent="0.25">
      <c r="A162" s="8" t="s">
        <v>1015</v>
      </c>
      <c r="B162" s="8" t="s">
        <v>733</v>
      </c>
      <c r="C162" s="8" t="s">
        <v>1015</v>
      </c>
      <c r="D162" s="8" t="s">
        <v>1637</v>
      </c>
      <c r="E162">
        <f t="shared" si="4"/>
        <v>6000000159</v>
      </c>
      <c r="F162">
        <v>6</v>
      </c>
      <c r="J162">
        <f t="shared" si="5"/>
        <v>20000000159</v>
      </c>
      <c r="K162">
        <v>159</v>
      </c>
    </row>
    <row r="163" spans="1:11" x14ac:dyDescent="0.25">
      <c r="A163" s="8" t="s">
        <v>1015</v>
      </c>
      <c r="B163" s="8" t="s">
        <v>734</v>
      </c>
      <c r="C163" s="8" t="s">
        <v>1015</v>
      </c>
      <c r="D163" s="8" t="s">
        <v>1638</v>
      </c>
      <c r="E163">
        <f t="shared" si="4"/>
        <v>6000000160</v>
      </c>
      <c r="F163">
        <v>6</v>
      </c>
      <c r="J163">
        <f t="shared" si="5"/>
        <v>20000000160</v>
      </c>
      <c r="K163">
        <v>160</v>
      </c>
    </row>
    <row r="164" spans="1:11" x14ac:dyDescent="0.25">
      <c r="A164" s="8" t="s">
        <v>1015</v>
      </c>
      <c r="B164" s="8" t="s">
        <v>735</v>
      </c>
      <c r="C164" s="8" t="s">
        <v>1015</v>
      </c>
      <c r="D164" s="8" t="s">
        <v>1639</v>
      </c>
      <c r="E164">
        <f t="shared" si="4"/>
        <v>6000000161</v>
      </c>
      <c r="F164">
        <v>6</v>
      </c>
      <c r="J164">
        <f t="shared" si="5"/>
        <v>20000000161</v>
      </c>
      <c r="K164">
        <v>161</v>
      </c>
    </row>
    <row r="165" spans="1:11" x14ac:dyDescent="0.25">
      <c r="A165" s="8" t="s">
        <v>1015</v>
      </c>
      <c r="B165" s="8" t="s">
        <v>2890</v>
      </c>
      <c r="C165" s="8" t="s">
        <v>1015</v>
      </c>
      <c r="D165" s="8" t="s">
        <v>1640</v>
      </c>
      <c r="E165">
        <f t="shared" si="4"/>
        <v>6000000162</v>
      </c>
      <c r="F165">
        <v>6</v>
      </c>
      <c r="J165">
        <f t="shared" si="5"/>
        <v>20000000162</v>
      </c>
      <c r="K165">
        <v>162</v>
      </c>
    </row>
    <row r="166" spans="1:11" x14ac:dyDescent="0.25">
      <c r="A166" s="8" t="s">
        <v>1015</v>
      </c>
      <c r="B166" s="8" t="s">
        <v>2891</v>
      </c>
      <c r="C166" s="8" t="s">
        <v>1015</v>
      </c>
      <c r="D166" s="8" t="s">
        <v>1641</v>
      </c>
      <c r="E166">
        <f t="shared" si="4"/>
        <v>6000000163</v>
      </c>
      <c r="F166">
        <v>6</v>
      </c>
      <c r="J166">
        <f t="shared" si="5"/>
        <v>20000000163</v>
      </c>
      <c r="K166">
        <v>163</v>
      </c>
    </row>
    <row r="167" spans="1:11" x14ac:dyDescent="0.25">
      <c r="A167" s="8" t="s">
        <v>1015</v>
      </c>
      <c r="B167" s="8" t="s">
        <v>2892</v>
      </c>
      <c r="C167" s="8" t="s">
        <v>1015</v>
      </c>
      <c r="D167" s="8" t="s">
        <v>1642</v>
      </c>
      <c r="E167">
        <f t="shared" si="4"/>
        <v>6000000164</v>
      </c>
      <c r="F167">
        <v>6</v>
      </c>
      <c r="J167">
        <f t="shared" si="5"/>
        <v>20000000164</v>
      </c>
      <c r="K167">
        <v>164</v>
      </c>
    </row>
    <row r="168" spans="1:11" x14ac:dyDescent="0.25">
      <c r="A168" s="8" t="s">
        <v>1015</v>
      </c>
      <c r="B168" s="8" t="s">
        <v>2893</v>
      </c>
      <c r="C168" s="8" t="s">
        <v>1015</v>
      </c>
      <c r="D168" s="8" t="s">
        <v>1643</v>
      </c>
      <c r="E168">
        <f t="shared" si="4"/>
        <v>6000000165</v>
      </c>
      <c r="F168">
        <v>6</v>
      </c>
      <c r="J168">
        <f t="shared" si="5"/>
        <v>20000000165</v>
      </c>
      <c r="K168">
        <v>165</v>
      </c>
    </row>
    <row r="169" spans="1:11" x14ac:dyDescent="0.25">
      <c r="A169" s="8" t="s">
        <v>1015</v>
      </c>
      <c r="B169" s="8" t="s">
        <v>2894</v>
      </c>
      <c r="C169" s="8" t="s">
        <v>1015</v>
      </c>
      <c r="D169" s="8" t="s">
        <v>1644</v>
      </c>
      <c r="E169">
        <f t="shared" si="4"/>
        <v>6000000166</v>
      </c>
      <c r="F169">
        <v>6</v>
      </c>
      <c r="J169">
        <f t="shared" si="5"/>
        <v>20000000166</v>
      </c>
      <c r="K169">
        <v>166</v>
      </c>
    </row>
    <row r="170" spans="1:11" x14ac:dyDescent="0.25">
      <c r="A170" s="8" t="s">
        <v>1015</v>
      </c>
      <c r="B170" s="8" t="s">
        <v>736</v>
      </c>
      <c r="C170" s="8" t="s">
        <v>1015</v>
      </c>
      <c r="D170" s="8" t="s">
        <v>1645</v>
      </c>
      <c r="E170">
        <f t="shared" si="4"/>
        <v>6000000167</v>
      </c>
      <c r="F170">
        <v>6</v>
      </c>
      <c r="J170">
        <f t="shared" si="5"/>
        <v>20000000167</v>
      </c>
      <c r="K170">
        <v>167</v>
      </c>
    </row>
    <row r="171" spans="1:11" x14ac:dyDescent="0.25">
      <c r="A171" s="8" t="s">
        <v>1015</v>
      </c>
      <c r="B171" s="8" t="s">
        <v>737</v>
      </c>
      <c r="C171" s="8" t="s">
        <v>1015</v>
      </c>
      <c r="D171" s="8" t="s">
        <v>1646</v>
      </c>
      <c r="E171">
        <f t="shared" si="4"/>
        <v>6000000168</v>
      </c>
      <c r="F171">
        <v>6</v>
      </c>
      <c r="J171">
        <f t="shared" si="5"/>
        <v>20000000168</v>
      </c>
      <c r="K171">
        <v>168</v>
      </c>
    </row>
    <row r="172" spans="1:11" x14ac:dyDescent="0.25">
      <c r="A172" s="8" t="s">
        <v>1015</v>
      </c>
      <c r="B172" s="8" t="s">
        <v>928</v>
      </c>
      <c r="C172" s="8" t="s">
        <v>1015</v>
      </c>
      <c r="D172" s="8" t="s">
        <v>1647</v>
      </c>
      <c r="E172">
        <f t="shared" si="4"/>
        <v>6000000169</v>
      </c>
      <c r="F172">
        <v>6</v>
      </c>
      <c r="J172">
        <f t="shared" si="5"/>
        <v>20000000169</v>
      </c>
      <c r="K172">
        <v>169</v>
      </c>
    </row>
    <row r="173" spans="1:11" x14ac:dyDescent="0.25">
      <c r="A173" s="8" t="s">
        <v>1015</v>
      </c>
      <c r="B173" s="8" t="s">
        <v>738</v>
      </c>
      <c r="C173" s="8" t="s">
        <v>1015</v>
      </c>
      <c r="D173" s="8" t="s">
        <v>1648</v>
      </c>
      <c r="E173">
        <f t="shared" si="4"/>
        <v>6000000170</v>
      </c>
      <c r="F173">
        <v>6</v>
      </c>
      <c r="J173">
        <f t="shared" si="5"/>
        <v>20000000170</v>
      </c>
      <c r="K173">
        <v>170</v>
      </c>
    </row>
    <row r="174" spans="1:11" x14ac:dyDescent="0.25">
      <c r="A174" s="8" t="s">
        <v>1015</v>
      </c>
      <c r="B174" s="8" t="s">
        <v>929</v>
      </c>
      <c r="C174" s="8" t="s">
        <v>1015</v>
      </c>
      <c r="D174" s="8" t="s">
        <v>1649</v>
      </c>
      <c r="E174">
        <f t="shared" si="4"/>
        <v>6000000171</v>
      </c>
      <c r="F174">
        <v>6</v>
      </c>
      <c r="J174">
        <f t="shared" si="5"/>
        <v>20000000171</v>
      </c>
      <c r="K174">
        <v>171</v>
      </c>
    </row>
    <row r="175" spans="1:11" x14ac:dyDescent="0.25">
      <c r="A175" s="8" t="s">
        <v>1015</v>
      </c>
      <c r="B175" s="8" t="s">
        <v>930</v>
      </c>
      <c r="C175" s="8" t="s">
        <v>1015</v>
      </c>
      <c r="D175" s="8" t="s">
        <v>1650</v>
      </c>
      <c r="E175">
        <f t="shared" si="4"/>
        <v>6000000172</v>
      </c>
      <c r="F175">
        <v>6</v>
      </c>
      <c r="J175">
        <f t="shared" si="5"/>
        <v>20000000172</v>
      </c>
      <c r="K175">
        <v>172</v>
      </c>
    </row>
    <row r="176" spans="1:11" x14ac:dyDescent="0.25">
      <c r="A176" s="8" t="s">
        <v>1015</v>
      </c>
      <c r="B176" s="8" t="s">
        <v>931</v>
      </c>
      <c r="C176" s="8" t="s">
        <v>1015</v>
      </c>
      <c r="D176" s="8" t="s">
        <v>1651</v>
      </c>
      <c r="E176">
        <f t="shared" si="4"/>
        <v>6000000173</v>
      </c>
      <c r="F176">
        <v>6</v>
      </c>
      <c r="J176">
        <f t="shared" si="5"/>
        <v>20000000173</v>
      </c>
      <c r="K176">
        <v>173</v>
      </c>
    </row>
    <row r="177" spans="1:11" x14ac:dyDescent="0.25">
      <c r="A177" s="8" t="s">
        <v>1015</v>
      </c>
      <c r="B177" s="8" t="s">
        <v>932</v>
      </c>
      <c r="C177" s="8" t="s">
        <v>1015</v>
      </c>
      <c r="D177" s="8" t="s">
        <v>1652</v>
      </c>
      <c r="E177">
        <f t="shared" si="4"/>
        <v>6000000174</v>
      </c>
      <c r="F177">
        <v>6</v>
      </c>
      <c r="J177">
        <f t="shared" si="5"/>
        <v>20000000174</v>
      </c>
      <c r="K177">
        <v>174</v>
      </c>
    </row>
    <row r="178" spans="1:11" x14ac:dyDescent="0.25">
      <c r="A178" s="8" t="s">
        <v>1015</v>
      </c>
      <c r="B178" s="8" t="s">
        <v>933</v>
      </c>
      <c r="C178" s="8" t="s">
        <v>1015</v>
      </c>
      <c r="D178" s="8" t="s">
        <v>1653</v>
      </c>
      <c r="E178">
        <f t="shared" si="4"/>
        <v>6000000175</v>
      </c>
      <c r="F178">
        <v>6</v>
      </c>
      <c r="J178">
        <f t="shared" si="5"/>
        <v>20000000175</v>
      </c>
      <c r="K178">
        <v>175</v>
      </c>
    </row>
    <row r="179" spans="1:11" x14ac:dyDescent="0.25">
      <c r="A179" s="8" t="s">
        <v>1015</v>
      </c>
      <c r="B179" s="8" t="s">
        <v>934</v>
      </c>
      <c r="C179" s="8" t="s">
        <v>1015</v>
      </c>
      <c r="D179" s="8" t="s">
        <v>1654</v>
      </c>
      <c r="E179">
        <f t="shared" si="4"/>
        <v>6000000176</v>
      </c>
      <c r="F179">
        <v>6</v>
      </c>
      <c r="J179">
        <f t="shared" si="5"/>
        <v>20000000176</v>
      </c>
      <c r="K179">
        <v>176</v>
      </c>
    </row>
    <row r="180" spans="1:11" x14ac:dyDescent="0.25">
      <c r="A180" s="8" t="s">
        <v>946</v>
      </c>
      <c r="B180" s="8" t="s">
        <v>730</v>
      </c>
      <c r="C180" s="8" t="s">
        <v>946</v>
      </c>
      <c r="D180" s="8" t="s">
        <v>1655</v>
      </c>
      <c r="E180">
        <f t="shared" si="4"/>
        <v>2000000177</v>
      </c>
      <c r="F180">
        <v>2</v>
      </c>
      <c r="J180">
        <f t="shared" si="5"/>
        <v>20000000177</v>
      </c>
      <c r="K180">
        <v>177</v>
      </c>
    </row>
    <row r="181" spans="1:11" x14ac:dyDescent="0.25">
      <c r="A181" s="8" t="s">
        <v>946</v>
      </c>
      <c r="B181" s="8" t="s">
        <v>1075</v>
      </c>
      <c r="C181" s="8" t="s">
        <v>946</v>
      </c>
      <c r="D181" s="8" t="s">
        <v>1656</v>
      </c>
      <c r="E181">
        <f t="shared" si="4"/>
        <v>2000000178</v>
      </c>
      <c r="F181">
        <v>2</v>
      </c>
      <c r="J181">
        <f t="shared" si="5"/>
        <v>20000000178</v>
      </c>
      <c r="K181">
        <v>178</v>
      </c>
    </row>
    <row r="182" spans="1:11" x14ac:dyDescent="0.25">
      <c r="A182" s="8" t="s">
        <v>714</v>
      </c>
      <c r="B182" s="8" t="s">
        <v>657</v>
      </c>
      <c r="C182" s="8" t="s">
        <v>714</v>
      </c>
      <c r="D182" s="8" t="s">
        <v>1657</v>
      </c>
      <c r="E182">
        <f t="shared" si="4"/>
        <v>4000000179</v>
      </c>
      <c r="F182">
        <v>4</v>
      </c>
      <c r="J182">
        <f t="shared" si="5"/>
        <v>20000000179</v>
      </c>
      <c r="K182">
        <v>179</v>
      </c>
    </row>
    <row r="183" spans="1:11" x14ac:dyDescent="0.25">
      <c r="A183" s="8" t="s">
        <v>715</v>
      </c>
      <c r="B183" s="8">
        <v>49600</v>
      </c>
      <c r="C183" s="8" t="s">
        <v>715</v>
      </c>
      <c r="D183" s="8" t="s">
        <v>1658</v>
      </c>
      <c r="E183">
        <f t="shared" si="4"/>
        <v>6000000180</v>
      </c>
      <c r="F183">
        <v>6</v>
      </c>
      <c r="J183">
        <f t="shared" si="5"/>
        <v>20000000180</v>
      </c>
      <c r="K183">
        <v>180</v>
      </c>
    </row>
    <row r="184" spans="1:11" x14ac:dyDescent="0.25">
      <c r="A184" s="8" t="s">
        <v>715</v>
      </c>
      <c r="B184" s="8">
        <v>52000</v>
      </c>
      <c r="C184" s="8" t="s">
        <v>715</v>
      </c>
      <c r="D184" s="8" t="s">
        <v>1659</v>
      </c>
      <c r="E184">
        <f t="shared" si="4"/>
        <v>6000000181</v>
      </c>
      <c r="F184">
        <v>6</v>
      </c>
      <c r="J184">
        <f t="shared" si="5"/>
        <v>20000000181</v>
      </c>
      <c r="K184">
        <v>181</v>
      </c>
    </row>
    <row r="185" spans="1:11" x14ac:dyDescent="0.25">
      <c r="A185" s="8" t="s">
        <v>139</v>
      </c>
      <c r="B185" s="8" t="s">
        <v>140</v>
      </c>
      <c r="C185" s="8" t="s">
        <v>139</v>
      </c>
      <c r="D185" s="8" t="s">
        <v>1660</v>
      </c>
      <c r="E185">
        <f t="shared" si="4"/>
        <v>4000000182</v>
      </c>
      <c r="F185">
        <v>4</v>
      </c>
      <c r="J185">
        <f t="shared" si="5"/>
        <v>20000000182</v>
      </c>
      <c r="K185">
        <v>182</v>
      </c>
    </row>
    <row r="186" spans="1:11" x14ac:dyDescent="0.25">
      <c r="A186" s="8" t="s">
        <v>139</v>
      </c>
      <c r="B186" s="8" t="s">
        <v>662</v>
      </c>
      <c r="C186" s="8" t="s">
        <v>139</v>
      </c>
      <c r="D186" s="8" t="s">
        <v>1661</v>
      </c>
      <c r="E186">
        <f t="shared" si="4"/>
        <v>4000000183</v>
      </c>
      <c r="F186">
        <v>4</v>
      </c>
      <c r="J186">
        <f t="shared" si="5"/>
        <v>20000000183</v>
      </c>
      <c r="K186">
        <v>183</v>
      </c>
    </row>
    <row r="187" spans="1:11" x14ac:dyDescent="0.25">
      <c r="A187" s="8" t="s">
        <v>22</v>
      </c>
      <c r="B187" s="8" t="s">
        <v>1076</v>
      </c>
      <c r="C187" s="8" t="s">
        <v>22</v>
      </c>
      <c r="D187" s="8" t="s">
        <v>1662</v>
      </c>
      <c r="E187">
        <f t="shared" si="4"/>
        <v>6000000184</v>
      </c>
      <c r="F187">
        <v>6</v>
      </c>
      <c r="J187">
        <f t="shared" si="5"/>
        <v>20000000184</v>
      </c>
      <c r="K187">
        <v>184</v>
      </c>
    </row>
    <row r="188" spans="1:11" x14ac:dyDescent="0.25">
      <c r="A188" s="8" t="s">
        <v>22</v>
      </c>
      <c r="B188" s="8" t="s">
        <v>1077</v>
      </c>
      <c r="C188" s="8" t="s">
        <v>22</v>
      </c>
      <c r="D188" s="8" t="s">
        <v>1663</v>
      </c>
      <c r="E188">
        <f t="shared" si="4"/>
        <v>6000000185</v>
      </c>
      <c r="F188">
        <v>6</v>
      </c>
      <c r="J188">
        <f t="shared" si="5"/>
        <v>20000000185</v>
      </c>
      <c r="K188">
        <v>185</v>
      </c>
    </row>
    <row r="189" spans="1:11" x14ac:dyDescent="0.25">
      <c r="A189" s="8" t="s">
        <v>22</v>
      </c>
      <c r="B189" s="8" t="s">
        <v>1078</v>
      </c>
      <c r="C189" s="8" t="s">
        <v>22</v>
      </c>
      <c r="D189" s="8" t="s">
        <v>1664</v>
      </c>
      <c r="E189">
        <f t="shared" si="4"/>
        <v>6000000186</v>
      </c>
      <c r="F189">
        <v>6</v>
      </c>
      <c r="J189">
        <f t="shared" si="5"/>
        <v>20000000186</v>
      </c>
      <c r="K189">
        <v>186</v>
      </c>
    </row>
    <row r="190" spans="1:11" x14ac:dyDescent="0.25">
      <c r="A190" s="8" t="s">
        <v>22</v>
      </c>
      <c r="B190" s="8" t="s">
        <v>141</v>
      </c>
      <c r="C190" s="8" t="s">
        <v>22</v>
      </c>
      <c r="D190" s="8" t="s">
        <v>1665</v>
      </c>
      <c r="E190">
        <f t="shared" si="4"/>
        <v>6000000187</v>
      </c>
      <c r="F190">
        <v>6</v>
      </c>
      <c r="J190">
        <f t="shared" si="5"/>
        <v>20000000187</v>
      </c>
      <c r="K190">
        <v>187</v>
      </c>
    </row>
    <row r="191" spans="1:11" x14ac:dyDescent="0.25">
      <c r="A191" s="8" t="s">
        <v>22</v>
      </c>
      <c r="B191" s="8" t="s">
        <v>142</v>
      </c>
      <c r="C191" s="8" t="s">
        <v>22</v>
      </c>
      <c r="D191" s="8" t="s">
        <v>1666</v>
      </c>
      <c r="E191">
        <f t="shared" si="4"/>
        <v>6000000188</v>
      </c>
      <c r="F191">
        <v>6</v>
      </c>
      <c r="J191">
        <f t="shared" si="5"/>
        <v>20000000188</v>
      </c>
      <c r="K191">
        <v>188</v>
      </c>
    </row>
    <row r="192" spans="1:11" x14ac:dyDescent="0.25">
      <c r="A192" s="8" t="s">
        <v>22</v>
      </c>
      <c r="B192" s="8" t="s">
        <v>739</v>
      </c>
      <c r="C192" s="8" t="s">
        <v>22</v>
      </c>
      <c r="D192" s="8" t="s">
        <v>1667</v>
      </c>
      <c r="E192">
        <f t="shared" si="4"/>
        <v>6000000189</v>
      </c>
      <c r="F192">
        <v>6</v>
      </c>
      <c r="J192">
        <f t="shared" si="5"/>
        <v>20000000189</v>
      </c>
      <c r="K192">
        <v>189</v>
      </c>
    </row>
    <row r="193" spans="1:11" x14ac:dyDescent="0.25">
      <c r="A193" s="8" t="s">
        <v>22</v>
      </c>
      <c r="B193" s="8" t="s">
        <v>947</v>
      </c>
      <c r="C193" s="8" t="s">
        <v>22</v>
      </c>
      <c r="D193" s="8" t="s">
        <v>1668</v>
      </c>
      <c r="E193">
        <f t="shared" si="4"/>
        <v>6000000190</v>
      </c>
      <c r="F193">
        <v>6</v>
      </c>
      <c r="J193">
        <f t="shared" si="5"/>
        <v>20000000190</v>
      </c>
      <c r="K193">
        <v>190</v>
      </c>
    </row>
    <row r="194" spans="1:11" x14ac:dyDescent="0.25">
      <c r="A194" s="8" t="s">
        <v>22</v>
      </c>
      <c r="B194" s="8" t="s">
        <v>1079</v>
      </c>
      <c r="C194" s="8" t="s">
        <v>22</v>
      </c>
      <c r="D194" s="8" t="s">
        <v>1669</v>
      </c>
      <c r="E194">
        <f t="shared" si="4"/>
        <v>6000000191</v>
      </c>
      <c r="F194">
        <v>6</v>
      </c>
      <c r="J194">
        <f t="shared" si="5"/>
        <v>20000000191</v>
      </c>
      <c r="K194">
        <v>191</v>
      </c>
    </row>
    <row r="195" spans="1:11" x14ac:dyDescent="0.25">
      <c r="A195" s="8" t="s">
        <v>22</v>
      </c>
      <c r="B195" s="8" t="s">
        <v>143</v>
      </c>
      <c r="C195" s="8" t="s">
        <v>22</v>
      </c>
      <c r="D195" s="8" t="s">
        <v>1670</v>
      </c>
      <c r="E195">
        <f t="shared" ref="E195:E258" si="6">IF(F195="",J195,IF(G195="",F195*$F$2+K195,IF(H195="",F195*$F$2+G195*$G$2+K195,IF(I195="",F195*$F$2+G195*$G$2+H195*$H$2+K195,F195*$F$2+G195*$G$2+H195*$H$2+I195*$I$2+K195))))</f>
        <v>6000000192</v>
      </c>
      <c r="F195">
        <v>6</v>
      </c>
      <c r="J195">
        <f t="shared" si="5"/>
        <v>20000000192</v>
      </c>
      <c r="K195">
        <v>192</v>
      </c>
    </row>
    <row r="196" spans="1:11" x14ac:dyDescent="0.25">
      <c r="A196" s="8" t="s">
        <v>22</v>
      </c>
      <c r="B196" s="8" t="s">
        <v>144</v>
      </c>
      <c r="C196" s="8" t="s">
        <v>22</v>
      </c>
      <c r="D196" s="8" t="s">
        <v>1671</v>
      </c>
      <c r="E196">
        <f t="shared" si="6"/>
        <v>6000000193</v>
      </c>
      <c r="F196">
        <v>6</v>
      </c>
      <c r="J196">
        <f t="shared" si="5"/>
        <v>20000000193</v>
      </c>
      <c r="K196">
        <v>193</v>
      </c>
    </row>
    <row r="197" spans="1:11" x14ac:dyDescent="0.25">
      <c r="A197" s="8" t="s">
        <v>22</v>
      </c>
      <c r="B197" s="8" t="s">
        <v>56</v>
      </c>
      <c r="C197" s="8" t="s">
        <v>22</v>
      </c>
      <c r="D197" s="8" t="s">
        <v>1672</v>
      </c>
      <c r="E197">
        <f t="shared" si="6"/>
        <v>6000000194</v>
      </c>
      <c r="F197">
        <v>6</v>
      </c>
      <c r="J197">
        <f t="shared" si="5"/>
        <v>20000000194</v>
      </c>
      <c r="K197">
        <v>194</v>
      </c>
    </row>
    <row r="198" spans="1:11" x14ac:dyDescent="0.25">
      <c r="A198" s="8" t="s">
        <v>22</v>
      </c>
      <c r="B198" s="8" t="s">
        <v>1080</v>
      </c>
      <c r="C198" s="8" t="s">
        <v>22</v>
      </c>
      <c r="D198" s="8" t="s">
        <v>1667</v>
      </c>
      <c r="E198">
        <f t="shared" si="6"/>
        <v>6000000195</v>
      </c>
      <c r="F198">
        <v>6</v>
      </c>
      <c r="J198">
        <f t="shared" ref="J198:J261" si="7">J197+1</f>
        <v>20000000195</v>
      </c>
      <c r="K198">
        <v>195</v>
      </c>
    </row>
    <row r="199" spans="1:11" x14ac:dyDescent="0.25">
      <c r="A199" s="8" t="s">
        <v>22</v>
      </c>
      <c r="B199" s="8" t="s">
        <v>57</v>
      </c>
      <c r="C199" s="8" t="s">
        <v>22</v>
      </c>
      <c r="D199" s="8" t="s">
        <v>1673</v>
      </c>
      <c r="E199">
        <f t="shared" si="6"/>
        <v>6000000196</v>
      </c>
      <c r="F199">
        <v>6</v>
      </c>
      <c r="J199">
        <f t="shared" si="7"/>
        <v>20000000196</v>
      </c>
      <c r="K199">
        <v>196</v>
      </c>
    </row>
    <row r="200" spans="1:11" x14ac:dyDescent="0.25">
      <c r="A200" s="8" t="s">
        <v>22</v>
      </c>
      <c r="B200" s="8" t="s">
        <v>145</v>
      </c>
      <c r="C200" s="8" t="s">
        <v>22</v>
      </c>
      <c r="D200" s="8" t="s">
        <v>1674</v>
      </c>
      <c r="E200">
        <f t="shared" si="6"/>
        <v>6000000197</v>
      </c>
      <c r="F200">
        <v>6</v>
      </c>
      <c r="J200">
        <f t="shared" si="7"/>
        <v>20000000197</v>
      </c>
      <c r="K200">
        <v>197</v>
      </c>
    </row>
    <row r="201" spans="1:11" x14ac:dyDescent="0.25">
      <c r="A201" s="8" t="s">
        <v>22</v>
      </c>
      <c r="B201" s="8" t="s">
        <v>146</v>
      </c>
      <c r="C201" s="8" t="s">
        <v>22</v>
      </c>
      <c r="D201" s="8" t="s">
        <v>1675</v>
      </c>
      <c r="E201">
        <f t="shared" si="6"/>
        <v>6000000198</v>
      </c>
      <c r="F201">
        <v>6</v>
      </c>
      <c r="J201">
        <f t="shared" si="7"/>
        <v>20000000198</v>
      </c>
      <c r="K201">
        <v>198</v>
      </c>
    </row>
    <row r="202" spans="1:11" ht="18" customHeight="1" x14ac:dyDescent="0.25">
      <c r="A202" s="8" t="s">
        <v>22</v>
      </c>
      <c r="B202" s="8" t="s">
        <v>58</v>
      </c>
      <c r="C202" s="8" t="s">
        <v>22</v>
      </c>
      <c r="D202" s="8" t="s">
        <v>1676</v>
      </c>
      <c r="E202">
        <f t="shared" si="6"/>
        <v>6000000199</v>
      </c>
      <c r="F202">
        <v>6</v>
      </c>
      <c r="J202">
        <f t="shared" si="7"/>
        <v>20000000199</v>
      </c>
      <c r="K202">
        <v>199</v>
      </c>
    </row>
    <row r="203" spans="1:11" x14ac:dyDescent="0.25">
      <c r="A203" s="8" t="s">
        <v>22</v>
      </c>
      <c r="B203" s="8" t="s">
        <v>147</v>
      </c>
      <c r="C203" s="8" t="s">
        <v>22</v>
      </c>
      <c r="D203" s="8" t="s">
        <v>1677</v>
      </c>
      <c r="E203">
        <f t="shared" si="6"/>
        <v>6000000200</v>
      </c>
      <c r="F203">
        <v>6</v>
      </c>
      <c r="J203">
        <f t="shared" si="7"/>
        <v>20000000200</v>
      </c>
      <c r="K203">
        <v>200</v>
      </c>
    </row>
    <row r="204" spans="1:11" x14ac:dyDescent="0.25">
      <c r="A204" s="8" t="s">
        <v>22</v>
      </c>
      <c r="B204" s="8" t="s">
        <v>148</v>
      </c>
      <c r="C204" s="8" t="s">
        <v>22</v>
      </c>
      <c r="D204" s="8" t="s">
        <v>1678</v>
      </c>
      <c r="E204">
        <f t="shared" si="6"/>
        <v>6000000201</v>
      </c>
      <c r="F204">
        <v>6</v>
      </c>
      <c r="J204">
        <f t="shared" si="7"/>
        <v>20000000201</v>
      </c>
      <c r="K204">
        <v>201</v>
      </c>
    </row>
    <row r="205" spans="1:11" x14ac:dyDescent="0.25">
      <c r="A205" s="8" t="s">
        <v>22</v>
      </c>
      <c r="B205" s="8" t="s">
        <v>59</v>
      </c>
      <c r="C205" s="8" t="s">
        <v>22</v>
      </c>
      <c r="D205" s="8" t="s">
        <v>1679</v>
      </c>
      <c r="E205">
        <f t="shared" si="6"/>
        <v>6000000202</v>
      </c>
      <c r="F205">
        <v>6</v>
      </c>
      <c r="J205">
        <f t="shared" si="7"/>
        <v>20000000202</v>
      </c>
      <c r="K205">
        <v>202</v>
      </c>
    </row>
    <row r="206" spans="1:11" x14ac:dyDescent="0.25">
      <c r="A206" s="8" t="s">
        <v>22</v>
      </c>
      <c r="B206" s="8" t="s">
        <v>149</v>
      </c>
      <c r="C206" s="8" t="s">
        <v>22</v>
      </c>
      <c r="D206" s="8" t="s">
        <v>1680</v>
      </c>
      <c r="E206">
        <f t="shared" si="6"/>
        <v>6000000203</v>
      </c>
      <c r="F206">
        <v>6</v>
      </c>
      <c r="J206">
        <f t="shared" si="7"/>
        <v>20000000203</v>
      </c>
      <c r="K206">
        <v>203</v>
      </c>
    </row>
    <row r="207" spans="1:11" x14ac:dyDescent="0.25">
      <c r="A207" s="8" t="s">
        <v>22</v>
      </c>
      <c r="B207" s="8" t="s">
        <v>60</v>
      </c>
      <c r="C207" s="8" t="s">
        <v>22</v>
      </c>
      <c r="D207" s="8" t="s">
        <v>1681</v>
      </c>
      <c r="E207">
        <f t="shared" si="6"/>
        <v>6000000204</v>
      </c>
      <c r="F207">
        <v>6</v>
      </c>
      <c r="J207">
        <f t="shared" si="7"/>
        <v>20000000204</v>
      </c>
      <c r="K207">
        <v>204</v>
      </c>
    </row>
    <row r="208" spans="1:11" x14ac:dyDescent="0.25">
      <c r="A208" s="8" t="s">
        <v>22</v>
      </c>
      <c r="B208" s="8" t="s">
        <v>740</v>
      </c>
      <c r="C208" s="8" t="s">
        <v>22</v>
      </c>
      <c r="D208" s="8" t="s">
        <v>1682</v>
      </c>
      <c r="E208">
        <f t="shared" si="6"/>
        <v>6000000205</v>
      </c>
      <c r="F208">
        <v>6</v>
      </c>
      <c r="J208">
        <f t="shared" si="7"/>
        <v>20000000205</v>
      </c>
      <c r="K208">
        <v>205</v>
      </c>
    </row>
    <row r="209" spans="1:11" x14ac:dyDescent="0.25">
      <c r="A209" s="8" t="s">
        <v>22</v>
      </c>
      <c r="B209" s="8" t="s">
        <v>61</v>
      </c>
      <c r="C209" s="8" t="s">
        <v>22</v>
      </c>
      <c r="D209" s="8" t="s">
        <v>1683</v>
      </c>
      <c r="E209">
        <f t="shared" si="6"/>
        <v>6000000206</v>
      </c>
      <c r="F209">
        <v>6</v>
      </c>
      <c r="J209">
        <f t="shared" si="7"/>
        <v>20000000206</v>
      </c>
      <c r="K209">
        <v>206</v>
      </c>
    </row>
    <row r="210" spans="1:11" x14ac:dyDescent="0.25">
      <c r="A210" s="8" t="s">
        <v>22</v>
      </c>
      <c r="B210" s="8" t="s">
        <v>62</v>
      </c>
      <c r="C210" s="8" t="s">
        <v>22</v>
      </c>
      <c r="D210" s="8" t="s">
        <v>1684</v>
      </c>
      <c r="E210">
        <f t="shared" si="6"/>
        <v>6000000207</v>
      </c>
      <c r="F210">
        <v>6</v>
      </c>
      <c r="J210">
        <f t="shared" si="7"/>
        <v>20000000207</v>
      </c>
      <c r="K210">
        <v>207</v>
      </c>
    </row>
    <row r="211" spans="1:11" x14ac:dyDescent="0.25">
      <c r="A211" s="8" t="s">
        <v>22</v>
      </c>
      <c r="B211" s="8" t="s">
        <v>63</v>
      </c>
      <c r="C211" s="8" t="s">
        <v>22</v>
      </c>
      <c r="D211" s="8" t="s">
        <v>1685</v>
      </c>
      <c r="E211">
        <f t="shared" si="6"/>
        <v>6000000208</v>
      </c>
      <c r="F211">
        <v>6</v>
      </c>
      <c r="J211">
        <f t="shared" si="7"/>
        <v>20000000208</v>
      </c>
      <c r="K211">
        <v>208</v>
      </c>
    </row>
    <row r="212" spans="1:11" x14ac:dyDescent="0.25">
      <c r="A212" s="8" t="s">
        <v>22</v>
      </c>
      <c r="B212" s="8" t="s">
        <v>64</v>
      </c>
      <c r="C212" s="8" t="s">
        <v>22</v>
      </c>
      <c r="D212" s="8" t="s">
        <v>1686</v>
      </c>
      <c r="E212">
        <f t="shared" si="6"/>
        <v>6000000209</v>
      </c>
      <c r="F212">
        <v>6</v>
      </c>
      <c r="J212">
        <f t="shared" si="7"/>
        <v>20000000209</v>
      </c>
      <c r="K212">
        <v>209</v>
      </c>
    </row>
    <row r="213" spans="1:11" x14ac:dyDescent="0.25">
      <c r="A213" s="8" t="s">
        <v>22</v>
      </c>
      <c r="B213" s="8" t="s">
        <v>26</v>
      </c>
      <c r="C213" s="8" t="s">
        <v>22</v>
      </c>
      <c r="D213" s="8" t="s">
        <v>1687</v>
      </c>
      <c r="E213">
        <f t="shared" si="6"/>
        <v>6000000210</v>
      </c>
      <c r="F213">
        <v>6</v>
      </c>
      <c r="J213">
        <f t="shared" si="7"/>
        <v>20000000210</v>
      </c>
      <c r="K213">
        <v>210</v>
      </c>
    </row>
    <row r="214" spans="1:11" x14ac:dyDescent="0.25">
      <c r="A214" s="8" t="s">
        <v>22</v>
      </c>
      <c r="B214" s="8" t="s">
        <v>27</v>
      </c>
      <c r="C214" s="8" t="s">
        <v>22</v>
      </c>
      <c r="D214" s="8" t="s">
        <v>1688</v>
      </c>
      <c r="E214">
        <f t="shared" si="6"/>
        <v>6000000211</v>
      </c>
      <c r="F214">
        <v>6</v>
      </c>
      <c r="J214">
        <f t="shared" si="7"/>
        <v>20000000211</v>
      </c>
      <c r="K214">
        <v>211</v>
      </c>
    </row>
    <row r="215" spans="1:11" x14ac:dyDescent="0.25">
      <c r="A215" s="8" t="s">
        <v>22</v>
      </c>
      <c r="B215" s="8" t="s">
        <v>1081</v>
      </c>
      <c r="C215" s="8" t="s">
        <v>22</v>
      </c>
      <c r="D215" s="8" t="s">
        <v>1689</v>
      </c>
      <c r="E215">
        <f t="shared" si="6"/>
        <v>6000000212</v>
      </c>
      <c r="F215">
        <v>6</v>
      </c>
      <c r="J215">
        <f t="shared" si="7"/>
        <v>20000000212</v>
      </c>
      <c r="K215">
        <v>212</v>
      </c>
    </row>
    <row r="216" spans="1:11" x14ac:dyDescent="0.25">
      <c r="A216" s="8" t="s">
        <v>22</v>
      </c>
      <c r="B216" s="8" t="s">
        <v>663</v>
      </c>
      <c r="C216" s="8" t="s">
        <v>22</v>
      </c>
      <c r="D216" s="8" t="s">
        <v>1690</v>
      </c>
      <c r="E216">
        <f t="shared" si="6"/>
        <v>6000000213</v>
      </c>
      <c r="F216">
        <v>6</v>
      </c>
      <c r="J216">
        <f t="shared" si="7"/>
        <v>20000000213</v>
      </c>
      <c r="K216">
        <v>213</v>
      </c>
    </row>
    <row r="217" spans="1:11" x14ac:dyDescent="0.25">
      <c r="A217" s="8" t="s">
        <v>22</v>
      </c>
      <c r="B217" s="8" t="s">
        <v>150</v>
      </c>
      <c r="C217" s="8" t="s">
        <v>22</v>
      </c>
      <c r="D217" s="8" t="s">
        <v>1691</v>
      </c>
      <c r="E217">
        <f t="shared" si="6"/>
        <v>6000000214</v>
      </c>
      <c r="F217">
        <v>6</v>
      </c>
      <c r="J217">
        <f t="shared" si="7"/>
        <v>20000000214</v>
      </c>
      <c r="K217">
        <v>214</v>
      </c>
    </row>
    <row r="218" spans="1:11" x14ac:dyDescent="0.25">
      <c r="A218" s="8" t="s">
        <v>22</v>
      </c>
      <c r="B218" s="8" t="s">
        <v>1428</v>
      </c>
      <c r="C218" s="8" t="s">
        <v>22</v>
      </c>
      <c r="D218" s="8" t="s">
        <v>1692</v>
      </c>
      <c r="E218">
        <f t="shared" si="6"/>
        <v>6000000215</v>
      </c>
      <c r="F218">
        <v>6</v>
      </c>
      <c r="J218">
        <f t="shared" si="7"/>
        <v>20000000215</v>
      </c>
      <c r="K218">
        <v>215</v>
      </c>
    </row>
    <row r="219" spans="1:11" x14ac:dyDescent="0.25">
      <c r="A219" s="8" t="s">
        <v>22</v>
      </c>
      <c r="B219" s="8" t="s">
        <v>151</v>
      </c>
      <c r="C219" s="8" t="s">
        <v>22</v>
      </c>
      <c r="D219" s="8" t="s">
        <v>1693</v>
      </c>
      <c r="E219">
        <f t="shared" si="6"/>
        <v>6000000216</v>
      </c>
      <c r="F219">
        <v>6</v>
      </c>
      <c r="J219">
        <f t="shared" si="7"/>
        <v>20000000216</v>
      </c>
      <c r="K219">
        <v>216</v>
      </c>
    </row>
    <row r="220" spans="1:11" x14ac:dyDescent="0.25">
      <c r="A220" s="8" t="s">
        <v>22</v>
      </c>
      <c r="B220" s="8" t="s">
        <v>152</v>
      </c>
      <c r="C220" s="8" t="s">
        <v>22</v>
      </c>
      <c r="D220" s="8" t="s">
        <v>1694</v>
      </c>
      <c r="E220">
        <f t="shared" si="6"/>
        <v>6000000217</v>
      </c>
      <c r="F220">
        <v>6</v>
      </c>
      <c r="J220">
        <f t="shared" si="7"/>
        <v>20000000217</v>
      </c>
      <c r="K220">
        <v>217</v>
      </c>
    </row>
    <row r="221" spans="1:11" x14ac:dyDescent="0.25">
      <c r="A221" s="8" t="s">
        <v>22</v>
      </c>
      <c r="B221" s="8" t="s">
        <v>1082</v>
      </c>
      <c r="C221" s="8" t="s">
        <v>22</v>
      </c>
      <c r="D221" s="8" t="s">
        <v>1695</v>
      </c>
      <c r="E221">
        <f t="shared" si="6"/>
        <v>6000000218</v>
      </c>
      <c r="F221">
        <v>6</v>
      </c>
      <c r="J221">
        <f t="shared" si="7"/>
        <v>20000000218</v>
      </c>
      <c r="K221">
        <v>218</v>
      </c>
    </row>
    <row r="222" spans="1:11" x14ac:dyDescent="0.25">
      <c r="A222" s="8" t="s">
        <v>22</v>
      </c>
      <c r="B222" s="8" t="s">
        <v>1083</v>
      </c>
      <c r="C222" s="8" t="s">
        <v>22</v>
      </c>
      <c r="D222" s="8" t="s">
        <v>1692</v>
      </c>
      <c r="E222">
        <f t="shared" si="6"/>
        <v>6000000219</v>
      </c>
      <c r="F222">
        <v>6</v>
      </c>
      <c r="J222">
        <f t="shared" si="7"/>
        <v>20000000219</v>
      </c>
      <c r="K222">
        <v>219</v>
      </c>
    </row>
    <row r="223" spans="1:11" x14ac:dyDescent="0.25">
      <c r="A223" s="8" t="s">
        <v>22</v>
      </c>
      <c r="B223" s="8" t="s">
        <v>1084</v>
      </c>
      <c r="C223" s="8" t="s">
        <v>22</v>
      </c>
      <c r="D223" s="8" t="s">
        <v>1696</v>
      </c>
      <c r="E223">
        <f t="shared" si="6"/>
        <v>6000000220</v>
      </c>
      <c r="F223">
        <v>6</v>
      </c>
      <c r="J223">
        <f t="shared" si="7"/>
        <v>20000000220</v>
      </c>
      <c r="K223">
        <v>220</v>
      </c>
    </row>
    <row r="224" spans="1:11" x14ac:dyDescent="0.25">
      <c r="A224" s="8" t="s">
        <v>22</v>
      </c>
      <c r="B224" s="8" t="s">
        <v>1429</v>
      </c>
      <c r="C224" s="8" t="s">
        <v>22</v>
      </c>
      <c r="D224" s="8" t="s">
        <v>1697</v>
      </c>
      <c r="E224">
        <f t="shared" si="6"/>
        <v>6000000221</v>
      </c>
      <c r="F224">
        <v>6</v>
      </c>
      <c r="J224">
        <f t="shared" si="7"/>
        <v>20000000221</v>
      </c>
      <c r="K224">
        <v>221</v>
      </c>
    </row>
    <row r="225" spans="1:11" x14ac:dyDescent="0.25">
      <c r="A225" s="8" t="s">
        <v>22</v>
      </c>
      <c r="B225" s="8" t="s">
        <v>870</v>
      </c>
      <c r="C225" s="8" t="s">
        <v>22</v>
      </c>
      <c r="D225" s="8" t="s">
        <v>1698</v>
      </c>
      <c r="E225">
        <f t="shared" si="6"/>
        <v>6000000222</v>
      </c>
      <c r="F225">
        <v>6</v>
      </c>
      <c r="J225">
        <f t="shared" si="7"/>
        <v>20000000222</v>
      </c>
      <c r="K225">
        <v>222</v>
      </c>
    </row>
    <row r="226" spans="1:11" x14ac:dyDescent="0.25">
      <c r="A226" s="8" t="s">
        <v>22</v>
      </c>
      <c r="B226" s="8" t="s">
        <v>871</v>
      </c>
      <c r="C226" s="8" t="s">
        <v>22</v>
      </c>
      <c r="D226" s="8" t="s">
        <v>1699</v>
      </c>
      <c r="E226">
        <f t="shared" si="6"/>
        <v>6000000223</v>
      </c>
      <c r="F226">
        <v>6</v>
      </c>
      <c r="J226">
        <f t="shared" si="7"/>
        <v>20000000223</v>
      </c>
      <c r="K226">
        <v>223</v>
      </c>
    </row>
    <row r="227" spans="1:11" x14ac:dyDescent="0.25">
      <c r="A227" s="8" t="s">
        <v>22</v>
      </c>
      <c r="B227" s="8" t="s">
        <v>153</v>
      </c>
      <c r="C227" s="8" t="s">
        <v>22</v>
      </c>
      <c r="D227" s="8" t="s">
        <v>1700</v>
      </c>
      <c r="E227">
        <f t="shared" si="6"/>
        <v>6000000224</v>
      </c>
      <c r="F227">
        <v>6</v>
      </c>
      <c r="J227">
        <f t="shared" si="7"/>
        <v>20000000224</v>
      </c>
      <c r="K227">
        <v>224</v>
      </c>
    </row>
    <row r="228" spans="1:11" x14ac:dyDescent="0.25">
      <c r="A228" s="8" t="s">
        <v>22</v>
      </c>
      <c r="B228" s="8" t="s">
        <v>154</v>
      </c>
      <c r="C228" s="8" t="s">
        <v>22</v>
      </c>
      <c r="D228" s="8" t="s">
        <v>1701</v>
      </c>
      <c r="E228">
        <f t="shared" si="6"/>
        <v>6000000225</v>
      </c>
      <c r="F228">
        <v>6</v>
      </c>
      <c r="J228">
        <f t="shared" si="7"/>
        <v>20000000225</v>
      </c>
      <c r="K228">
        <v>225</v>
      </c>
    </row>
    <row r="229" spans="1:11" x14ac:dyDescent="0.25">
      <c r="A229" s="8" t="s">
        <v>22</v>
      </c>
      <c r="B229" s="8" t="s">
        <v>155</v>
      </c>
      <c r="C229" s="8" t="s">
        <v>22</v>
      </c>
      <c r="D229" s="8" t="s">
        <v>1668</v>
      </c>
      <c r="E229">
        <f t="shared" si="6"/>
        <v>6000000226</v>
      </c>
      <c r="F229">
        <v>6</v>
      </c>
      <c r="J229">
        <f t="shared" si="7"/>
        <v>20000000226</v>
      </c>
      <c r="K229">
        <v>226</v>
      </c>
    </row>
    <row r="230" spans="1:11" x14ac:dyDescent="0.25">
      <c r="A230" s="8" t="s">
        <v>22</v>
      </c>
      <c r="B230" s="8" t="s">
        <v>156</v>
      </c>
      <c r="C230" s="8" t="s">
        <v>22</v>
      </c>
      <c r="D230" s="8" t="s">
        <v>1702</v>
      </c>
      <c r="E230">
        <f t="shared" si="6"/>
        <v>6000000227</v>
      </c>
      <c r="F230">
        <v>6</v>
      </c>
      <c r="J230">
        <f t="shared" si="7"/>
        <v>20000000227</v>
      </c>
      <c r="K230">
        <v>227</v>
      </c>
    </row>
    <row r="231" spans="1:11" x14ac:dyDescent="0.25">
      <c r="A231" s="8" t="s">
        <v>22</v>
      </c>
      <c r="B231" s="8" t="s">
        <v>157</v>
      </c>
      <c r="C231" s="8" t="s">
        <v>22</v>
      </c>
      <c r="D231" s="8" t="s">
        <v>1680</v>
      </c>
      <c r="E231">
        <f t="shared" si="6"/>
        <v>6000000228</v>
      </c>
      <c r="F231">
        <v>6</v>
      </c>
      <c r="J231">
        <f t="shared" si="7"/>
        <v>20000000228</v>
      </c>
      <c r="K231">
        <v>228</v>
      </c>
    </row>
    <row r="232" spans="1:11" x14ac:dyDescent="0.25">
      <c r="A232" s="8" t="s">
        <v>22</v>
      </c>
      <c r="B232" s="8" t="s">
        <v>158</v>
      </c>
      <c r="C232" s="8" t="s">
        <v>22</v>
      </c>
      <c r="D232" s="8" t="s">
        <v>1682</v>
      </c>
      <c r="E232">
        <f t="shared" si="6"/>
        <v>6000000229</v>
      </c>
      <c r="F232">
        <v>6</v>
      </c>
      <c r="J232">
        <f t="shared" si="7"/>
        <v>20000000229</v>
      </c>
      <c r="K232">
        <v>229</v>
      </c>
    </row>
    <row r="233" spans="1:11" x14ac:dyDescent="0.25">
      <c r="A233" s="8" t="s">
        <v>22</v>
      </c>
      <c r="B233" s="8" t="s">
        <v>159</v>
      </c>
      <c r="C233" s="8" t="s">
        <v>22</v>
      </c>
      <c r="D233" s="8" t="s">
        <v>1703</v>
      </c>
      <c r="E233">
        <f t="shared" si="6"/>
        <v>6000000230</v>
      </c>
      <c r="F233">
        <v>6</v>
      </c>
      <c r="J233">
        <f t="shared" si="7"/>
        <v>20000000230</v>
      </c>
      <c r="K233">
        <v>230</v>
      </c>
    </row>
    <row r="234" spans="1:11" x14ac:dyDescent="0.25">
      <c r="A234" s="8" t="s">
        <v>22</v>
      </c>
      <c r="B234" s="8" t="s">
        <v>664</v>
      </c>
      <c r="C234" s="8" t="s">
        <v>22</v>
      </c>
      <c r="D234" s="8" t="s">
        <v>1704</v>
      </c>
      <c r="E234">
        <f t="shared" si="6"/>
        <v>6000000231</v>
      </c>
      <c r="F234">
        <v>6</v>
      </c>
      <c r="J234">
        <f t="shared" si="7"/>
        <v>20000000231</v>
      </c>
      <c r="K234">
        <v>231</v>
      </c>
    </row>
    <row r="235" spans="1:11" x14ac:dyDescent="0.25">
      <c r="A235" s="8" t="s">
        <v>22</v>
      </c>
      <c r="B235" s="8" t="s">
        <v>160</v>
      </c>
      <c r="C235" s="8" t="s">
        <v>22</v>
      </c>
      <c r="D235" s="8" t="s">
        <v>1705</v>
      </c>
      <c r="E235">
        <f t="shared" si="6"/>
        <v>6000000232</v>
      </c>
      <c r="F235">
        <v>6</v>
      </c>
      <c r="J235">
        <f t="shared" si="7"/>
        <v>20000000232</v>
      </c>
      <c r="K235">
        <v>232</v>
      </c>
    </row>
    <row r="236" spans="1:11" x14ac:dyDescent="0.25">
      <c r="A236" s="8" t="s">
        <v>22</v>
      </c>
      <c r="B236" s="8" t="s">
        <v>161</v>
      </c>
      <c r="C236" s="8" t="s">
        <v>22</v>
      </c>
      <c r="D236" s="8" t="s">
        <v>1706</v>
      </c>
      <c r="E236">
        <f t="shared" si="6"/>
        <v>6000000233</v>
      </c>
      <c r="F236">
        <v>6</v>
      </c>
      <c r="J236">
        <f t="shared" si="7"/>
        <v>20000000233</v>
      </c>
      <c r="K236">
        <v>233</v>
      </c>
    </row>
    <row r="237" spans="1:11" x14ac:dyDescent="0.25">
      <c r="A237" s="8" t="s">
        <v>22</v>
      </c>
      <c r="B237" s="8" t="s">
        <v>162</v>
      </c>
      <c r="C237" s="8" t="s">
        <v>22</v>
      </c>
      <c r="D237" s="8" t="s">
        <v>1707</v>
      </c>
      <c r="E237">
        <f t="shared" si="6"/>
        <v>6000000234</v>
      </c>
      <c r="F237">
        <v>6</v>
      </c>
      <c r="J237">
        <f t="shared" si="7"/>
        <v>20000000234</v>
      </c>
      <c r="K237">
        <v>234</v>
      </c>
    </row>
    <row r="238" spans="1:11" x14ac:dyDescent="0.25">
      <c r="A238" s="8" t="s">
        <v>22</v>
      </c>
      <c r="B238" s="8" t="s">
        <v>163</v>
      </c>
      <c r="C238" s="8" t="s">
        <v>22</v>
      </c>
      <c r="D238" s="8" t="s">
        <v>1668</v>
      </c>
      <c r="E238">
        <f t="shared" si="6"/>
        <v>6000000235</v>
      </c>
      <c r="F238">
        <v>6</v>
      </c>
      <c r="J238">
        <f t="shared" si="7"/>
        <v>20000000235</v>
      </c>
      <c r="K238">
        <v>235</v>
      </c>
    </row>
    <row r="239" spans="1:11" x14ac:dyDescent="0.25">
      <c r="A239" s="8" t="s">
        <v>22</v>
      </c>
      <c r="B239" s="8" t="s">
        <v>164</v>
      </c>
      <c r="C239" s="8" t="s">
        <v>22</v>
      </c>
      <c r="D239" s="8" t="s">
        <v>1708</v>
      </c>
      <c r="E239">
        <f t="shared" si="6"/>
        <v>6000000236</v>
      </c>
      <c r="F239">
        <v>6</v>
      </c>
      <c r="J239">
        <f t="shared" si="7"/>
        <v>20000000236</v>
      </c>
      <c r="K239">
        <v>236</v>
      </c>
    </row>
    <row r="240" spans="1:11" x14ac:dyDescent="0.25">
      <c r="A240" s="8" t="s">
        <v>22</v>
      </c>
      <c r="B240" s="8" t="s">
        <v>165</v>
      </c>
      <c r="C240" s="8" t="s">
        <v>22</v>
      </c>
      <c r="D240" s="8" t="s">
        <v>1709</v>
      </c>
      <c r="E240">
        <f t="shared" si="6"/>
        <v>6000000237</v>
      </c>
      <c r="F240">
        <v>6</v>
      </c>
      <c r="J240">
        <f t="shared" si="7"/>
        <v>20000000237</v>
      </c>
      <c r="K240">
        <v>237</v>
      </c>
    </row>
    <row r="241" spans="1:11" x14ac:dyDescent="0.25">
      <c r="A241" s="8" t="s">
        <v>22</v>
      </c>
      <c r="B241" s="8" t="s">
        <v>166</v>
      </c>
      <c r="C241" s="8" t="s">
        <v>22</v>
      </c>
      <c r="D241" s="8" t="s">
        <v>1710</v>
      </c>
      <c r="E241">
        <f t="shared" si="6"/>
        <v>6000000238</v>
      </c>
      <c r="F241">
        <v>6</v>
      </c>
      <c r="J241">
        <f t="shared" si="7"/>
        <v>20000000238</v>
      </c>
      <c r="K241">
        <v>238</v>
      </c>
    </row>
    <row r="242" spans="1:11" x14ac:dyDescent="0.25">
      <c r="A242" s="8" t="s">
        <v>22</v>
      </c>
      <c r="B242" s="8" t="s">
        <v>167</v>
      </c>
      <c r="C242" s="8" t="s">
        <v>22</v>
      </c>
      <c r="D242" s="8" t="s">
        <v>1711</v>
      </c>
      <c r="E242">
        <f t="shared" si="6"/>
        <v>6000000239</v>
      </c>
      <c r="F242">
        <v>6</v>
      </c>
      <c r="J242">
        <f t="shared" si="7"/>
        <v>20000000239</v>
      </c>
      <c r="K242">
        <v>239</v>
      </c>
    </row>
    <row r="243" spans="1:11" x14ac:dyDescent="0.25">
      <c r="A243" s="8" t="s">
        <v>22</v>
      </c>
      <c r="B243" s="8" t="s">
        <v>168</v>
      </c>
      <c r="C243" s="8" t="s">
        <v>22</v>
      </c>
      <c r="D243" s="8" t="s">
        <v>1712</v>
      </c>
      <c r="E243">
        <f t="shared" si="6"/>
        <v>6000000240</v>
      </c>
      <c r="F243">
        <v>6</v>
      </c>
      <c r="J243">
        <f t="shared" si="7"/>
        <v>20000000240</v>
      </c>
      <c r="K243">
        <v>240</v>
      </c>
    </row>
    <row r="244" spans="1:11" x14ac:dyDescent="0.25">
      <c r="A244" s="8" t="s">
        <v>22</v>
      </c>
      <c r="B244" s="8" t="s">
        <v>169</v>
      </c>
      <c r="C244" s="8" t="s">
        <v>22</v>
      </c>
      <c r="D244" s="8" t="s">
        <v>1713</v>
      </c>
      <c r="E244">
        <f t="shared" si="6"/>
        <v>6000000241</v>
      </c>
      <c r="F244">
        <v>6</v>
      </c>
      <c r="J244">
        <f t="shared" si="7"/>
        <v>20000000241</v>
      </c>
      <c r="K244">
        <v>241</v>
      </c>
    </row>
    <row r="245" spans="1:11" x14ac:dyDescent="0.25">
      <c r="A245" s="8" t="s">
        <v>22</v>
      </c>
      <c r="B245" s="8" t="s">
        <v>170</v>
      </c>
      <c r="C245" s="8" t="s">
        <v>22</v>
      </c>
      <c r="D245" s="8" t="s">
        <v>1714</v>
      </c>
      <c r="E245">
        <f t="shared" si="6"/>
        <v>6000000242</v>
      </c>
      <c r="F245">
        <v>6</v>
      </c>
      <c r="J245">
        <f t="shared" si="7"/>
        <v>20000000242</v>
      </c>
      <c r="K245">
        <v>242</v>
      </c>
    </row>
    <row r="246" spans="1:11" x14ac:dyDescent="0.25">
      <c r="A246" s="8" t="s">
        <v>22</v>
      </c>
      <c r="B246" s="8" t="s">
        <v>171</v>
      </c>
      <c r="C246" s="8" t="s">
        <v>22</v>
      </c>
      <c r="D246" s="8" t="s">
        <v>1715</v>
      </c>
      <c r="E246">
        <f t="shared" si="6"/>
        <v>6000000243</v>
      </c>
      <c r="F246">
        <v>6</v>
      </c>
      <c r="J246">
        <f t="shared" si="7"/>
        <v>20000000243</v>
      </c>
      <c r="K246">
        <v>243</v>
      </c>
    </row>
    <row r="247" spans="1:11" x14ac:dyDescent="0.25">
      <c r="A247" s="8" t="s">
        <v>22</v>
      </c>
      <c r="B247" s="8" t="s">
        <v>665</v>
      </c>
      <c r="C247" s="8" t="s">
        <v>22</v>
      </c>
      <c r="D247" s="8" t="s">
        <v>1716</v>
      </c>
      <c r="E247">
        <f t="shared" si="6"/>
        <v>6000000244</v>
      </c>
      <c r="F247">
        <v>6</v>
      </c>
      <c r="J247">
        <f t="shared" si="7"/>
        <v>20000000244</v>
      </c>
      <c r="K247">
        <v>244</v>
      </c>
    </row>
    <row r="248" spans="1:11" x14ac:dyDescent="0.25">
      <c r="A248" s="8" t="s">
        <v>22</v>
      </c>
      <c r="B248" s="8" t="s">
        <v>172</v>
      </c>
      <c r="C248" s="8" t="s">
        <v>22</v>
      </c>
      <c r="D248" s="8" t="s">
        <v>1717</v>
      </c>
      <c r="E248">
        <f t="shared" si="6"/>
        <v>6000000245</v>
      </c>
      <c r="F248">
        <v>6</v>
      </c>
      <c r="J248">
        <f t="shared" si="7"/>
        <v>20000000245</v>
      </c>
      <c r="K248">
        <v>245</v>
      </c>
    </row>
    <row r="249" spans="1:11" x14ac:dyDescent="0.25">
      <c r="A249" s="8" t="s">
        <v>22</v>
      </c>
      <c r="B249" s="8" t="s">
        <v>173</v>
      </c>
      <c r="C249" s="8" t="s">
        <v>22</v>
      </c>
      <c r="D249" s="8" t="s">
        <v>1718</v>
      </c>
      <c r="E249">
        <f t="shared" si="6"/>
        <v>6000000246</v>
      </c>
      <c r="F249">
        <v>6</v>
      </c>
      <c r="J249">
        <f t="shared" si="7"/>
        <v>20000000246</v>
      </c>
      <c r="K249">
        <v>246</v>
      </c>
    </row>
    <row r="250" spans="1:11" x14ac:dyDescent="0.25">
      <c r="A250" s="8" t="s">
        <v>22</v>
      </c>
      <c r="B250" s="8" t="s">
        <v>21</v>
      </c>
      <c r="C250" s="8" t="s">
        <v>22</v>
      </c>
      <c r="D250" s="8" t="s">
        <v>1719</v>
      </c>
      <c r="E250">
        <f t="shared" si="6"/>
        <v>6000000247</v>
      </c>
      <c r="F250">
        <v>6</v>
      </c>
      <c r="J250">
        <f t="shared" si="7"/>
        <v>20000000247</v>
      </c>
      <c r="K250">
        <v>247</v>
      </c>
    </row>
    <row r="251" spans="1:11" x14ac:dyDescent="0.25">
      <c r="A251" s="8" t="s">
        <v>22</v>
      </c>
      <c r="B251" s="8" t="s">
        <v>20</v>
      </c>
      <c r="C251" s="8" t="s">
        <v>22</v>
      </c>
      <c r="D251" s="8" t="s">
        <v>1720</v>
      </c>
      <c r="E251">
        <f t="shared" si="6"/>
        <v>6000000248</v>
      </c>
      <c r="F251">
        <v>6</v>
      </c>
      <c r="J251">
        <f t="shared" si="7"/>
        <v>20000000248</v>
      </c>
      <c r="K251">
        <v>248</v>
      </c>
    </row>
    <row r="252" spans="1:11" x14ac:dyDescent="0.25">
      <c r="A252" s="8" t="s">
        <v>22</v>
      </c>
      <c r="B252" s="8" t="s">
        <v>23</v>
      </c>
      <c r="C252" s="8" t="s">
        <v>22</v>
      </c>
      <c r="D252" s="8" t="s">
        <v>1721</v>
      </c>
      <c r="E252">
        <f t="shared" si="6"/>
        <v>6000000249</v>
      </c>
      <c r="F252">
        <v>6</v>
      </c>
      <c r="J252">
        <f t="shared" si="7"/>
        <v>20000000249</v>
      </c>
      <c r="K252">
        <v>249</v>
      </c>
    </row>
    <row r="253" spans="1:11" x14ac:dyDescent="0.25">
      <c r="A253" s="8" t="s">
        <v>22</v>
      </c>
      <c r="B253" s="8" t="s">
        <v>174</v>
      </c>
      <c r="C253" s="8" t="s">
        <v>22</v>
      </c>
      <c r="D253" s="8" t="s">
        <v>1722</v>
      </c>
      <c r="E253">
        <f t="shared" si="6"/>
        <v>6000000250</v>
      </c>
      <c r="F253">
        <v>6</v>
      </c>
      <c r="J253">
        <f t="shared" si="7"/>
        <v>20000000250</v>
      </c>
      <c r="K253">
        <v>250</v>
      </c>
    </row>
    <row r="254" spans="1:11" x14ac:dyDescent="0.25">
      <c r="A254" s="8" t="s">
        <v>22</v>
      </c>
      <c r="B254" s="8" t="s">
        <v>175</v>
      </c>
      <c r="C254" s="8" t="s">
        <v>22</v>
      </c>
      <c r="D254" s="8" t="s">
        <v>1723</v>
      </c>
      <c r="E254">
        <f t="shared" si="6"/>
        <v>6000000251</v>
      </c>
      <c r="F254">
        <v>6</v>
      </c>
      <c r="J254">
        <f t="shared" si="7"/>
        <v>20000000251</v>
      </c>
      <c r="K254">
        <v>251</v>
      </c>
    </row>
    <row r="255" spans="1:11" x14ac:dyDescent="0.25">
      <c r="A255" s="8" t="s">
        <v>22</v>
      </c>
      <c r="B255" s="8" t="s">
        <v>1085</v>
      </c>
      <c r="C255" s="8" t="s">
        <v>22</v>
      </c>
      <c r="D255" s="8" t="s">
        <v>1724</v>
      </c>
      <c r="E255">
        <f t="shared" si="6"/>
        <v>6000000252</v>
      </c>
      <c r="F255">
        <v>6</v>
      </c>
      <c r="J255">
        <f t="shared" si="7"/>
        <v>20000000252</v>
      </c>
      <c r="K255">
        <v>252</v>
      </c>
    </row>
    <row r="256" spans="1:11" x14ac:dyDescent="0.25">
      <c r="A256" s="8" t="s">
        <v>22</v>
      </c>
      <c r="B256" s="8" t="s">
        <v>176</v>
      </c>
      <c r="C256" s="8" t="s">
        <v>22</v>
      </c>
      <c r="D256" s="8" t="s">
        <v>1725</v>
      </c>
      <c r="E256">
        <f t="shared" si="6"/>
        <v>6000000253</v>
      </c>
      <c r="F256">
        <v>6</v>
      </c>
      <c r="J256">
        <f t="shared" si="7"/>
        <v>20000000253</v>
      </c>
      <c r="K256">
        <v>253</v>
      </c>
    </row>
    <row r="257" spans="1:11" x14ac:dyDescent="0.25">
      <c r="A257" s="8" t="s">
        <v>22</v>
      </c>
      <c r="B257" s="8" t="s">
        <v>177</v>
      </c>
      <c r="C257" s="8" t="s">
        <v>22</v>
      </c>
      <c r="D257" s="8" t="s">
        <v>1725</v>
      </c>
      <c r="E257">
        <f t="shared" si="6"/>
        <v>6000000254</v>
      </c>
      <c r="F257">
        <v>6</v>
      </c>
      <c r="J257">
        <f t="shared" si="7"/>
        <v>20000000254</v>
      </c>
      <c r="K257">
        <v>254</v>
      </c>
    </row>
    <row r="258" spans="1:11" x14ac:dyDescent="0.25">
      <c r="A258" s="8" t="s">
        <v>22</v>
      </c>
      <c r="B258" s="8" t="s">
        <v>666</v>
      </c>
      <c r="C258" s="8" t="s">
        <v>22</v>
      </c>
      <c r="D258" s="8" t="s">
        <v>1725</v>
      </c>
      <c r="E258">
        <f t="shared" si="6"/>
        <v>6000000255</v>
      </c>
      <c r="F258">
        <v>6</v>
      </c>
      <c r="J258">
        <f t="shared" si="7"/>
        <v>20000000255</v>
      </c>
      <c r="K258">
        <v>255</v>
      </c>
    </row>
    <row r="259" spans="1:11" x14ac:dyDescent="0.25">
      <c r="A259" s="8" t="s">
        <v>22</v>
      </c>
      <c r="B259" s="8" t="s">
        <v>667</v>
      </c>
      <c r="C259" s="8" t="s">
        <v>22</v>
      </c>
      <c r="D259" s="8" t="s">
        <v>1725</v>
      </c>
      <c r="E259">
        <f t="shared" ref="E259:E322" si="8">IF(F259="",J259,IF(G259="",F259*$F$2+K259,IF(H259="",F259*$F$2+G259*$G$2+K259,IF(I259="",F259*$F$2+G259*$G$2+H259*$H$2+K259,F259*$F$2+G259*$G$2+H259*$H$2+I259*$I$2+K259))))</f>
        <v>6000000256</v>
      </c>
      <c r="F259">
        <v>6</v>
      </c>
      <c r="J259">
        <f t="shared" si="7"/>
        <v>20000000256</v>
      </c>
      <c r="K259">
        <v>256</v>
      </c>
    </row>
    <row r="260" spans="1:11" x14ac:dyDescent="0.25">
      <c r="A260" s="8" t="s">
        <v>22</v>
      </c>
      <c r="B260" s="8" t="s">
        <v>872</v>
      </c>
      <c r="C260" s="8" t="s">
        <v>22</v>
      </c>
      <c r="D260" s="8" t="s">
        <v>1726</v>
      </c>
      <c r="E260">
        <f t="shared" si="8"/>
        <v>6000000257</v>
      </c>
      <c r="F260">
        <v>6</v>
      </c>
      <c r="J260">
        <f t="shared" si="7"/>
        <v>20000000257</v>
      </c>
      <c r="K260">
        <v>257</v>
      </c>
    </row>
    <row r="261" spans="1:11" x14ac:dyDescent="0.25">
      <c r="A261" s="8" t="s">
        <v>22</v>
      </c>
      <c r="B261" s="8" t="s">
        <v>178</v>
      </c>
      <c r="C261" s="8" t="s">
        <v>22</v>
      </c>
      <c r="D261" s="8" t="s">
        <v>1727</v>
      </c>
      <c r="E261">
        <f t="shared" si="8"/>
        <v>6000000258</v>
      </c>
      <c r="F261">
        <v>6</v>
      </c>
      <c r="J261">
        <f t="shared" si="7"/>
        <v>20000000258</v>
      </c>
      <c r="K261">
        <v>258</v>
      </c>
    </row>
    <row r="262" spans="1:11" x14ac:dyDescent="0.25">
      <c r="A262" s="8" t="s">
        <v>22</v>
      </c>
      <c r="B262" s="8" t="s">
        <v>36</v>
      </c>
      <c r="C262" s="8" t="s">
        <v>22</v>
      </c>
      <c r="D262" s="8" t="s">
        <v>1727</v>
      </c>
      <c r="E262">
        <f t="shared" si="8"/>
        <v>6000000259</v>
      </c>
      <c r="F262">
        <v>6</v>
      </c>
      <c r="J262">
        <f t="shared" ref="J262:J326" si="9">J261+1</f>
        <v>20000000259</v>
      </c>
      <c r="K262">
        <v>259</v>
      </c>
    </row>
    <row r="263" spans="1:11" x14ac:dyDescent="0.25">
      <c r="A263" s="8" t="s">
        <v>22</v>
      </c>
      <c r="B263" s="8" t="s">
        <v>948</v>
      </c>
      <c r="C263" s="8" t="s">
        <v>22</v>
      </c>
      <c r="D263" s="8" t="s">
        <v>1727</v>
      </c>
      <c r="E263">
        <f t="shared" si="8"/>
        <v>6000000260</v>
      </c>
      <c r="F263">
        <v>6</v>
      </c>
      <c r="J263">
        <f t="shared" si="9"/>
        <v>20000000260</v>
      </c>
      <c r="K263">
        <v>260</v>
      </c>
    </row>
    <row r="264" spans="1:11" x14ac:dyDescent="0.25">
      <c r="A264" s="8" t="s">
        <v>22</v>
      </c>
      <c r="B264" s="8" t="s">
        <v>179</v>
      </c>
      <c r="C264" s="8" t="s">
        <v>22</v>
      </c>
      <c r="D264" s="8" t="s">
        <v>1727</v>
      </c>
      <c r="E264">
        <f t="shared" si="8"/>
        <v>6000000261</v>
      </c>
      <c r="F264">
        <v>6</v>
      </c>
      <c r="J264">
        <f t="shared" si="9"/>
        <v>20000000261</v>
      </c>
      <c r="K264">
        <v>261</v>
      </c>
    </row>
    <row r="265" spans="1:11" x14ac:dyDescent="0.25">
      <c r="A265" s="8" t="s">
        <v>22</v>
      </c>
      <c r="B265" s="8" t="s">
        <v>668</v>
      </c>
      <c r="C265" s="8" t="s">
        <v>22</v>
      </c>
      <c r="D265" s="8" t="s">
        <v>1728</v>
      </c>
      <c r="E265">
        <f t="shared" si="8"/>
        <v>6000000262</v>
      </c>
      <c r="F265">
        <v>6</v>
      </c>
      <c r="J265">
        <f t="shared" si="9"/>
        <v>20000000262</v>
      </c>
      <c r="K265">
        <v>262</v>
      </c>
    </row>
    <row r="266" spans="1:11" x14ac:dyDescent="0.25">
      <c r="A266" s="8" t="s">
        <v>22</v>
      </c>
      <c r="B266" s="8" t="s">
        <v>1086</v>
      </c>
      <c r="C266" s="8" t="s">
        <v>22</v>
      </c>
      <c r="D266" s="8" t="s">
        <v>1729</v>
      </c>
      <c r="E266">
        <f t="shared" si="8"/>
        <v>6000000263</v>
      </c>
      <c r="F266">
        <v>6</v>
      </c>
      <c r="J266">
        <f t="shared" si="9"/>
        <v>20000000263</v>
      </c>
      <c r="K266">
        <v>263</v>
      </c>
    </row>
    <row r="267" spans="1:11" x14ac:dyDescent="0.25">
      <c r="A267" s="8" t="s">
        <v>180</v>
      </c>
      <c r="B267" s="8" t="s">
        <v>181</v>
      </c>
      <c r="C267" s="8" t="s">
        <v>180</v>
      </c>
      <c r="D267" s="8" t="s">
        <v>1730</v>
      </c>
      <c r="E267">
        <f t="shared" si="8"/>
        <v>6000000264</v>
      </c>
      <c r="F267">
        <v>6</v>
      </c>
      <c r="J267">
        <f t="shared" si="9"/>
        <v>20000000264</v>
      </c>
      <c r="K267">
        <v>264</v>
      </c>
    </row>
    <row r="268" spans="1:11" x14ac:dyDescent="0.25">
      <c r="A268" s="8" t="s">
        <v>741</v>
      </c>
      <c r="B268" s="8">
        <v>3011015</v>
      </c>
      <c r="C268" s="8" t="s">
        <v>741</v>
      </c>
      <c r="D268" s="8" t="s">
        <v>1731</v>
      </c>
      <c r="E268">
        <f t="shared" si="8"/>
        <v>4000000265</v>
      </c>
      <c r="F268">
        <v>4</v>
      </c>
      <c r="J268">
        <f t="shared" si="9"/>
        <v>20000000265</v>
      </c>
      <c r="K268">
        <v>265</v>
      </c>
    </row>
    <row r="269" spans="1:11" x14ac:dyDescent="0.25">
      <c r="A269" s="8" t="s">
        <v>741</v>
      </c>
      <c r="B269" s="8">
        <v>3015013</v>
      </c>
      <c r="C269" s="8" t="s">
        <v>741</v>
      </c>
      <c r="D269" s="8" t="s">
        <v>1732</v>
      </c>
      <c r="E269">
        <f t="shared" si="8"/>
        <v>4000000266</v>
      </c>
      <c r="F269">
        <v>4</v>
      </c>
      <c r="J269">
        <f t="shared" si="9"/>
        <v>20000000266</v>
      </c>
      <c r="K269">
        <v>266</v>
      </c>
    </row>
    <row r="270" spans="1:11" x14ac:dyDescent="0.25">
      <c r="A270" s="8" t="s">
        <v>741</v>
      </c>
      <c r="B270" s="8">
        <v>3015014</v>
      </c>
      <c r="C270" s="8" t="s">
        <v>741</v>
      </c>
      <c r="D270" s="8" t="s">
        <v>1733</v>
      </c>
      <c r="E270">
        <f t="shared" si="8"/>
        <v>4000000267</v>
      </c>
      <c r="F270">
        <v>4</v>
      </c>
      <c r="J270">
        <f t="shared" si="9"/>
        <v>20000000267</v>
      </c>
      <c r="K270">
        <v>267</v>
      </c>
    </row>
    <row r="271" spans="1:11" x14ac:dyDescent="0.25">
      <c r="A271" s="8" t="s">
        <v>741</v>
      </c>
      <c r="B271" s="8">
        <v>3016010</v>
      </c>
      <c r="C271" s="8" t="s">
        <v>741</v>
      </c>
      <c r="D271" s="8" t="s">
        <v>1734</v>
      </c>
      <c r="E271">
        <f t="shared" si="8"/>
        <v>4000000268</v>
      </c>
      <c r="F271">
        <v>4</v>
      </c>
      <c r="J271">
        <f t="shared" si="9"/>
        <v>20000000268</v>
      </c>
      <c r="K271">
        <v>268</v>
      </c>
    </row>
    <row r="272" spans="1:11" x14ac:dyDescent="0.25">
      <c r="A272" s="8" t="s">
        <v>182</v>
      </c>
      <c r="B272" s="8" t="s">
        <v>1087</v>
      </c>
      <c r="C272" s="8" t="s">
        <v>182</v>
      </c>
      <c r="D272" s="8" t="s">
        <v>1735</v>
      </c>
      <c r="E272">
        <f t="shared" si="8"/>
        <v>6000000269</v>
      </c>
      <c r="F272">
        <v>6</v>
      </c>
      <c r="J272">
        <f t="shared" si="9"/>
        <v>20000000269</v>
      </c>
      <c r="K272">
        <v>269</v>
      </c>
    </row>
    <row r="273" spans="1:14" x14ac:dyDescent="0.25">
      <c r="A273" s="8" t="s">
        <v>182</v>
      </c>
      <c r="B273" s="8" t="s">
        <v>1088</v>
      </c>
      <c r="C273" s="8" t="s">
        <v>182</v>
      </c>
      <c r="D273" s="8" t="s">
        <v>1735</v>
      </c>
      <c r="E273">
        <f t="shared" si="8"/>
        <v>6000000270</v>
      </c>
      <c r="F273">
        <v>6</v>
      </c>
      <c r="J273">
        <f t="shared" si="9"/>
        <v>20000000270</v>
      </c>
      <c r="K273">
        <v>270</v>
      </c>
    </row>
    <row r="274" spans="1:14" x14ac:dyDescent="0.25">
      <c r="A274" s="8" t="s">
        <v>182</v>
      </c>
      <c r="B274" s="8" t="s">
        <v>1089</v>
      </c>
      <c r="C274" s="8" t="s">
        <v>182</v>
      </c>
      <c r="D274" s="8" t="s">
        <v>1735</v>
      </c>
      <c r="E274">
        <f t="shared" si="8"/>
        <v>6000000271</v>
      </c>
      <c r="F274">
        <v>6</v>
      </c>
      <c r="J274">
        <f t="shared" si="9"/>
        <v>20000000271</v>
      </c>
      <c r="K274">
        <v>271</v>
      </c>
    </row>
    <row r="275" spans="1:14" x14ac:dyDescent="0.25">
      <c r="A275" s="8" t="s">
        <v>182</v>
      </c>
      <c r="B275" s="8" t="s">
        <v>1090</v>
      </c>
      <c r="C275" s="8" t="s">
        <v>182</v>
      </c>
      <c r="D275" s="8" t="s">
        <v>1735</v>
      </c>
      <c r="E275">
        <f t="shared" si="8"/>
        <v>6000000272</v>
      </c>
      <c r="F275">
        <v>6</v>
      </c>
      <c r="J275">
        <f t="shared" si="9"/>
        <v>20000000272</v>
      </c>
      <c r="K275">
        <v>272</v>
      </c>
    </row>
    <row r="276" spans="1:14" x14ac:dyDescent="0.25">
      <c r="A276" s="8" t="s">
        <v>182</v>
      </c>
      <c r="B276" s="8" t="s">
        <v>1091</v>
      </c>
      <c r="C276" s="8" t="s">
        <v>182</v>
      </c>
      <c r="D276" s="8" t="s">
        <v>1735</v>
      </c>
      <c r="E276">
        <f t="shared" si="8"/>
        <v>6000000273</v>
      </c>
      <c r="F276">
        <v>6</v>
      </c>
      <c r="J276">
        <f t="shared" si="9"/>
        <v>20000000273</v>
      </c>
      <c r="K276">
        <v>273</v>
      </c>
    </row>
    <row r="277" spans="1:14" x14ac:dyDescent="0.25">
      <c r="A277" s="8" t="s">
        <v>182</v>
      </c>
      <c r="B277" s="8" t="s">
        <v>1092</v>
      </c>
      <c r="C277" s="8" t="s">
        <v>182</v>
      </c>
      <c r="D277" s="8" t="s">
        <v>1735</v>
      </c>
      <c r="E277">
        <f t="shared" si="8"/>
        <v>6000000274</v>
      </c>
      <c r="F277">
        <v>6</v>
      </c>
      <c r="J277">
        <f t="shared" si="9"/>
        <v>20000000274</v>
      </c>
      <c r="K277">
        <v>274</v>
      </c>
    </row>
    <row r="278" spans="1:14" x14ac:dyDescent="0.25">
      <c r="A278" s="8" t="s">
        <v>182</v>
      </c>
      <c r="B278" s="8" t="s">
        <v>1430</v>
      </c>
      <c r="C278" s="8" t="s">
        <v>182</v>
      </c>
      <c r="D278" s="8" t="s">
        <v>1735</v>
      </c>
      <c r="E278">
        <f t="shared" si="8"/>
        <v>6000000275</v>
      </c>
      <c r="F278">
        <v>6</v>
      </c>
      <c r="J278">
        <f t="shared" si="9"/>
        <v>20000000275</v>
      </c>
      <c r="K278">
        <v>275</v>
      </c>
    </row>
    <row r="279" spans="1:14" x14ac:dyDescent="0.25">
      <c r="A279" s="8" t="s">
        <v>182</v>
      </c>
      <c r="B279" s="8" t="s">
        <v>1093</v>
      </c>
      <c r="C279" s="8" t="s">
        <v>182</v>
      </c>
      <c r="D279" s="8" t="s">
        <v>1735</v>
      </c>
      <c r="E279">
        <f t="shared" si="8"/>
        <v>6000000276</v>
      </c>
      <c r="F279">
        <v>6</v>
      </c>
      <c r="J279">
        <f t="shared" si="9"/>
        <v>20000000276</v>
      </c>
      <c r="K279">
        <v>276</v>
      </c>
    </row>
    <row r="280" spans="1:14" x14ac:dyDescent="0.25">
      <c r="A280" s="8" t="s">
        <v>182</v>
      </c>
      <c r="B280" s="8" t="s">
        <v>1094</v>
      </c>
      <c r="C280" s="8" t="s">
        <v>182</v>
      </c>
      <c r="D280" s="8" t="s">
        <v>1735</v>
      </c>
      <c r="E280">
        <f t="shared" si="8"/>
        <v>6000000277</v>
      </c>
      <c r="F280">
        <v>6</v>
      </c>
      <c r="J280">
        <f t="shared" si="9"/>
        <v>20000000277</v>
      </c>
      <c r="K280">
        <v>277</v>
      </c>
    </row>
    <row r="281" spans="1:14" x14ac:dyDescent="0.25">
      <c r="A281" s="8" t="s">
        <v>182</v>
      </c>
      <c r="B281" s="8" t="s">
        <v>1095</v>
      </c>
      <c r="C281" s="8" t="s">
        <v>182</v>
      </c>
      <c r="D281" s="8" t="s">
        <v>1735</v>
      </c>
      <c r="E281">
        <f t="shared" si="8"/>
        <v>6000000278</v>
      </c>
      <c r="F281">
        <v>6</v>
      </c>
      <c r="J281">
        <f t="shared" si="9"/>
        <v>20000000278</v>
      </c>
      <c r="K281">
        <v>278</v>
      </c>
      <c r="M281">
        <v>10</v>
      </c>
      <c r="N281">
        <v>10</v>
      </c>
    </row>
    <row r="282" spans="1:14" x14ac:dyDescent="0.25">
      <c r="A282" s="8" t="s">
        <v>182</v>
      </c>
      <c r="B282" s="8" t="s">
        <v>1096</v>
      </c>
      <c r="C282" s="8" t="s">
        <v>182</v>
      </c>
      <c r="D282" s="8" t="s">
        <v>1735</v>
      </c>
      <c r="E282">
        <f t="shared" si="8"/>
        <v>6000000279</v>
      </c>
      <c r="F282">
        <v>6</v>
      </c>
      <c r="J282">
        <f t="shared" si="9"/>
        <v>20000000279</v>
      </c>
      <c r="K282">
        <v>279</v>
      </c>
      <c r="M282">
        <v>10</v>
      </c>
      <c r="N282">
        <v>10</v>
      </c>
    </row>
    <row r="283" spans="1:14" x14ac:dyDescent="0.25">
      <c r="A283" s="8" t="s">
        <v>182</v>
      </c>
      <c r="B283" s="8" t="s">
        <v>1097</v>
      </c>
      <c r="C283" s="8" t="s">
        <v>182</v>
      </c>
      <c r="D283" s="8" t="s">
        <v>1735</v>
      </c>
      <c r="E283">
        <f t="shared" si="8"/>
        <v>6000000280</v>
      </c>
      <c r="F283">
        <v>6</v>
      </c>
      <c r="J283">
        <f t="shared" si="9"/>
        <v>20000000280</v>
      </c>
      <c r="K283">
        <v>280</v>
      </c>
      <c r="M283">
        <v>10</v>
      </c>
      <c r="N283">
        <v>10</v>
      </c>
    </row>
    <row r="284" spans="1:14" x14ac:dyDescent="0.25">
      <c r="A284" s="8" t="s">
        <v>14</v>
      </c>
      <c r="B284" s="8" t="s">
        <v>1431</v>
      </c>
      <c r="C284" s="8" t="s">
        <v>14</v>
      </c>
      <c r="D284" s="8" t="s">
        <v>1736</v>
      </c>
      <c r="E284">
        <f t="shared" si="8"/>
        <v>3000000281</v>
      </c>
      <c r="F284">
        <v>3</v>
      </c>
      <c r="J284">
        <f t="shared" si="9"/>
        <v>20000000281</v>
      </c>
      <c r="K284">
        <v>281</v>
      </c>
      <c r="M284">
        <v>10</v>
      </c>
      <c r="N284">
        <v>10</v>
      </c>
    </row>
    <row r="285" spans="1:14" x14ac:dyDescent="0.25">
      <c r="A285" s="8" t="s">
        <v>14</v>
      </c>
      <c r="B285" s="8" t="s">
        <v>1432</v>
      </c>
      <c r="C285" s="8" t="s">
        <v>14</v>
      </c>
      <c r="D285" s="8" t="s">
        <v>1737</v>
      </c>
      <c r="E285">
        <f t="shared" si="8"/>
        <v>3000000282</v>
      </c>
      <c r="F285">
        <v>3</v>
      </c>
      <c r="J285">
        <f t="shared" si="9"/>
        <v>20000000282</v>
      </c>
      <c r="K285">
        <v>282</v>
      </c>
      <c r="M285">
        <v>10</v>
      </c>
      <c r="N285">
        <v>10</v>
      </c>
    </row>
    <row r="286" spans="1:14" x14ac:dyDescent="0.25">
      <c r="A286" s="8" t="s">
        <v>14</v>
      </c>
      <c r="B286" s="8" t="s">
        <v>1098</v>
      </c>
      <c r="C286" s="8" t="s">
        <v>14</v>
      </c>
      <c r="D286" s="8" t="s">
        <v>1738</v>
      </c>
      <c r="E286">
        <f t="shared" si="8"/>
        <v>3000000283</v>
      </c>
      <c r="F286">
        <v>3</v>
      </c>
      <c r="J286">
        <f t="shared" si="9"/>
        <v>20000000283</v>
      </c>
      <c r="K286">
        <v>283</v>
      </c>
      <c r="M286">
        <v>10</v>
      </c>
      <c r="N286">
        <v>10</v>
      </c>
    </row>
    <row r="287" spans="1:14" x14ac:dyDescent="0.25">
      <c r="A287" s="8" t="s">
        <v>14</v>
      </c>
      <c r="B287" s="8" t="s">
        <v>2895</v>
      </c>
      <c r="C287" s="8" t="s">
        <v>14</v>
      </c>
      <c r="D287" s="8" t="s">
        <v>2896</v>
      </c>
      <c r="E287">
        <f t="shared" si="8"/>
        <v>3000000284</v>
      </c>
      <c r="F287">
        <v>3</v>
      </c>
      <c r="J287">
        <f t="shared" si="9"/>
        <v>20000000284</v>
      </c>
      <c r="K287">
        <v>284</v>
      </c>
    </row>
    <row r="288" spans="1:14" x14ac:dyDescent="0.25">
      <c r="A288" s="8" t="s">
        <v>14</v>
      </c>
      <c r="B288" s="8" t="s">
        <v>1433</v>
      </c>
      <c r="C288" s="8" t="s">
        <v>14</v>
      </c>
      <c r="D288" s="8" t="s">
        <v>1739</v>
      </c>
      <c r="E288">
        <f t="shared" si="8"/>
        <v>3000000285</v>
      </c>
      <c r="F288">
        <v>3</v>
      </c>
      <c r="J288">
        <f t="shared" si="9"/>
        <v>20000000285</v>
      </c>
      <c r="K288">
        <v>285</v>
      </c>
    </row>
    <row r="289" spans="1:11" x14ac:dyDescent="0.25">
      <c r="A289" s="8" t="s">
        <v>14</v>
      </c>
      <c r="B289" s="8" t="s">
        <v>1099</v>
      </c>
      <c r="C289" s="8" t="s">
        <v>14</v>
      </c>
      <c r="D289" s="8" t="s">
        <v>1740</v>
      </c>
      <c r="E289">
        <f t="shared" si="8"/>
        <v>3000000286</v>
      </c>
      <c r="F289">
        <v>3</v>
      </c>
      <c r="J289">
        <f t="shared" si="9"/>
        <v>20000000286</v>
      </c>
      <c r="K289">
        <v>286</v>
      </c>
    </row>
    <row r="290" spans="1:11" x14ac:dyDescent="0.25">
      <c r="A290" s="8" t="s">
        <v>14</v>
      </c>
      <c r="B290" s="8" t="s">
        <v>1434</v>
      </c>
      <c r="C290" s="8" t="s">
        <v>14</v>
      </c>
      <c r="D290" s="8" t="s">
        <v>1741</v>
      </c>
      <c r="E290">
        <f t="shared" si="8"/>
        <v>3000000287</v>
      </c>
      <c r="F290">
        <v>3</v>
      </c>
      <c r="J290">
        <f t="shared" si="9"/>
        <v>20000000287</v>
      </c>
      <c r="K290">
        <v>287</v>
      </c>
    </row>
    <row r="291" spans="1:11" x14ac:dyDescent="0.25">
      <c r="A291" s="8" t="s">
        <v>14</v>
      </c>
      <c r="B291" s="8" t="s">
        <v>949</v>
      </c>
      <c r="C291" s="8" t="s">
        <v>14</v>
      </c>
      <c r="D291" s="8" t="s">
        <v>1742</v>
      </c>
      <c r="E291">
        <f t="shared" si="8"/>
        <v>3000000288</v>
      </c>
      <c r="F291">
        <v>3</v>
      </c>
      <c r="J291">
        <f t="shared" si="9"/>
        <v>20000000288</v>
      </c>
      <c r="K291">
        <v>288</v>
      </c>
    </row>
    <row r="292" spans="1:11" x14ac:dyDescent="0.25">
      <c r="A292" s="8" t="s">
        <v>14</v>
      </c>
      <c r="B292" s="8" t="s">
        <v>1100</v>
      </c>
      <c r="C292" s="8" t="s">
        <v>14</v>
      </c>
      <c r="D292" s="8" t="s">
        <v>1743</v>
      </c>
      <c r="E292">
        <f t="shared" si="8"/>
        <v>3000000289</v>
      </c>
      <c r="F292">
        <v>3</v>
      </c>
      <c r="J292">
        <f t="shared" si="9"/>
        <v>20000000289</v>
      </c>
      <c r="K292">
        <v>289</v>
      </c>
    </row>
    <row r="293" spans="1:11" x14ac:dyDescent="0.25">
      <c r="A293" s="8" t="s">
        <v>14</v>
      </c>
      <c r="B293" s="8" t="s">
        <v>1435</v>
      </c>
      <c r="C293" s="8" t="s">
        <v>14</v>
      </c>
      <c r="D293" s="8" t="s">
        <v>1744</v>
      </c>
      <c r="E293">
        <f t="shared" si="8"/>
        <v>3000000290</v>
      </c>
      <c r="F293">
        <v>3</v>
      </c>
      <c r="J293">
        <f t="shared" si="9"/>
        <v>20000000290</v>
      </c>
      <c r="K293">
        <v>290</v>
      </c>
    </row>
    <row r="294" spans="1:11" x14ac:dyDescent="0.25">
      <c r="A294" s="8" t="s">
        <v>14</v>
      </c>
      <c r="B294" s="8" t="s">
        <v>184</v>
      </c>
      <c r="C294" s="8" t="s">
        <v>14</v>
      </c>
      <c r="D294" s="8" t="s">
        <v>1745</v>
      </c>
      <c r="E294">
        <f t="shared" si="8"/>
        <v>3000000291</v>
      </c>
      <c r="F294">
        <v>3</v>
      </c>
      <c r="J294">
        <f t="shared" si="9"/>
        <v>20000000291</v>
      </c>
      <c r="K294">
        <v>291</v>
      </c>
    </row>
    <row r="295" spans="1:11" x14ac:dyDescent="0.25">
      <c r="A295" s="8" t="s">
        <v>14</v>
      </c>
      <c r="B295" s="8" t="s">
        <v>1101</v>
      </c>
      <c r="C295" s="8" t="s">
        <v>14</v>
      </c>
      <c r="D295" s="8" t="s">
        <v>1746</v>
      </c>
      <c r="E295">
        <f t="shared" si="8"/>
        <v>3000000292</v>
      </c>
      <c r="F295">
        <v>3</v>
      </c>
      <c r="K295">
        <v>292</v>
      </c>
    </row>
    <row r="296" spans="1:11" x14ac:dyDescent="0.25">
      <c r="A296" s="8" t="s">
        <v>14</v>
      </c>
      <c r="B296" s="8" t="s">
        <v>185</v>
      </c>
      <c r="C296" s="8" t="s">
        <v>14</v>
      </c>
      <c r="D296" s="8" t="s">
        <v>1747</v>
      </c>
      <c r="E296">
        <f t="shared" si="8"/>
        <v>3000000293</v>
      </c>
      <c r="F296">
        <v>3</v>
      </c>
      <c r="J296">
        <f>J294+1</f>
        <v>20000000292</v>
      </c>
      <c r="K296">
        <v>293</v>
      </c>
    </row>
    <row r="297" spans="1:11" x14ac:dyDescent="0.25">
      <c r="A297" s="8" t="s">
        <v>14</v>
      </c>
      <c r="B297" s="8" t="s">
        <v>186</v>
      </c>
      <c r="C297" s="8" t="s">
        <v>14</v>
      </c>
      <c r="D297" s="8" t="s">
        <v>1748</v>
      </c>
      <c r="E297">
        <f t="shared" si="8"/>
        <v>3000000294</v>
      </c>
      <c r="F297">
        <v>3</v>
      </c>
      <c r="J297">
        <f t="shared" si="9"/>
        <v>20000000293</v>
      </c>
      <c r="K297">
        <v>294</v>
      </c>
    </row>
    <row r="298" spans="1:11" x14ac:dyDescent="0.25">
      <c r="A298" s="8" t="s">
        <v>14</v>
      </c>
      <c r="B298" s="8" t="s">
        <v>950</v>
      </c>
      <c r="C298" s="8" t="s">
        <v>14</v>
      </c>
      <c r="D298" s="8" t="s">
        <v>1749</v>
      </c>
      <c r="E298">
        <f t="shared" si="8"/>
        <v>3000000295</v>
      </c>
      <c r="F298">
        <v>3</v>
      </c>
      <c r="J298">
        <f t="shared" si="9"/>
        <v>20000000294</v>
      </c>
      <c r="K298">
        <v>295</v>
      </c>
    </row>
    <row r="299" spans="1:11" x14ac:dyDescent="0.25">
      <c r="A299" s="8" t="s">
        <v>14</v>
      </c>
      <c r="B299" s="8" t="s">
        <v>187</v>
      </c>
      <c r="C299" s="8" t="s">
        <v>14</v>
      </c>
      <c r="D299" s="8" t="s">
        <v>1750</v>
      </c>
      <c r="E299">
        <f t="shared" si="8"/>
        <v>3000000296</v>
      </c>
      <c r="F299">
        <v>3</v>
      </c>
      <c r="J299">
        <f t="shared" si="9"/>
        <v>20000000295</v>
      </c>
      <c r="K299">
        <v>296</v>
      </c>
    </row>
    <row r="300" spans="1:11" x14ac:dyDescent="0.25">
      <c r="A300" s="8" t="s">
        <v>14</v>
      </c>
      <c r="B300" s="8" t="s">
        <v>951</v>
      </c>
      <c r="C300" s="8" t="s">
        <v>14</v>
      </c>
      <c r="D300" s="8" t="s">
        <v>1751</v>
      </c>
      <c r="E300">
        <f t="shared" si="8"/>
        <v>3000000297</v>
      </c>
      <c r="F300">
        <v>3</v>
      </c>
      <c r="J300">
        <f t="shared" si="9"/>
        <v>20000000296</v>
      </c>
      <c r="K300">
        <v>297</v>
      </c>
    </row>
    <row r="301" spans="1:11" x14ac:dyDescent="0.25">
      <c r="A301" s="8" t="s">
        <v>14</v>
      </c>
      <c r="B301" s="8" t="s">
        <v>188</v>
      </c>
      <c r="C301" s="8" t="s">
        <v>14</v>
      </c>
      <c r="D301" s="8" t="s">
        <v>1752</v>
      </c>
      <c r="E301">
        <f t="shared" si="8"/>
        <v>3000000298</v>
      </c>
      <c r="F301">
        <v>3</v>
      </c>
      <c r="J301">
        <f t="shared" si="9"/>
        <v>20000000297</v>
      </c>
      <c r="K301">
        <v>298</v>
      </c>
    </row>
    <row r="302" spans="1:11" x14ac:dyDescent="0.25">
      <c r="A302" s="8" t="s">
        <v>14</v>
      </c>
      <c r="B302" s="8" t="s">
        <v>952</v>
      </c>
      <c r="C302" s="8" t="s">
        <v>14</v>
      </c>
      <c r="D302" s="8" t="s">
        <v>1753</v>
      </c>
      <c r="E302">
        <f t="shared" si="8"/>
        <v>3000000299</v>
      </c>
      <c r="F302">
        <v>3</v>
      </c>
      <c r="J302">
        <f t="shared" si="9"/>
        <v>20000000298</v>
      </c>
      <c r="K302">
        <v>299</v>
      </c>
    </row>
    <row r="303" spans="1:11" x14ac:dyDescent="0.25">
      <c r="A303" s="8" t="s">
        <v>14</v>
      </c>
      <c r="B303" s="8" t="s">
        <v>953</v>
      </c>
      <c r="C303" s="8" t="s">
        <v>14</v>
      </c>
      <c r="D303" s="8" t="s">
        <v>1754</v>
      </c>
      <c r="E303">
        <f t="shared" si="8"/>
        <v>3000000300</v>
      </c>
      <c r="F303">
        <v>3</v>
      </c>
      <c r="J303">
        <f t="shared" si="9"/>
        <v>20000000299</v>
      </c>
      <c r="K303">
        <v>300</v>
      </c>
    </row>
    <row r="304" spans="1:11" x14ac:dyDescent="0.25">
      <c r="A304" s="8" t="s">
        <v>14</v>
      </c>
      <c r="B304" s="8" t="s">
        <v>954</v>
      </c>
      <c r="C304" s="8" t="s">
        <v>14</v>
      </c>
      <c r="D304" s="8" t="s">
        <v>1755</v>
      </c>
      <c r="E304">
        <f t="shared" si="8"/>
        <v>3000000301</v>
      </c>
      <c r="F304">
        <v>3</v>
      </c>
      <c r="J304">
        <f t="shared" si="9"/>
        <v>20000000300</v>
      </c>
      <c r="K304">
        <v>301</v>
      </c>
    </row>
    <row r="305" spans="1:11" x14ac:dyDescent="0.25">
      <c r="A305" s="8" t="s">
        <v>14</v>
      </c>
      <c r="B305" s="8" t="s">
        <v>742</v>
      </c>
      <c r="C305" s="8" t="s">
        <v>14</v>
      </c>
      <c r="D305" s="8" t="s">
        <v>1756</v>
      </c>
      <c r="E305">
        <f t="shared" si="8"/>
        <v>3000000302</v>
      </c>
      <c r="F305">
        <v>3</v>
      </c>
      <c r="J305">
        <f t="shared" si="9"/>
        <v>20000000301</v>
      </c>
      <c r="K305">
        <v>302</v>
      </c>
    </row>
    <row r="306" spans="1:11" x14ac:dyDescent="0.25">
      <c r="A306" s="8" t="s">
        <v>14</v>
      </c>
      <c r="B306" s="8" t="s">
        <v>1102</v>
      </c>
      <c r="C306" s="8" t="s">
        <v>14</v>
      </c>
      <c r="D306" s="8" t="s">
        <v>1757</v>
      </c>
      <c r="E306">
        <f t="shared" si="8"/>
        <v>3000000303</v>
      </c>
      <c r="F306">
        <v>3</v>
      </c>
      <c r="J306">
        <f t="shared" si="9"/>
        <v>20000000302</v>
      </c>
      <c r="K306">
        <v>303</v>
      </c>
    </row>
    <row r="307" spans="1:11" x14ac:dyDescent="0.25">
      <c r="A307" s="8" t="s">
        <v>14</v>
      </c>
      <c r="B307" s="8" t="s">
        <v>189</v>
      </c>
      <c r="C307" s="8" t="s">
        <v>14</v>
      </c>
      <c r="D307" s="8" t="s">
        <v>1758</v>
      </c>
      <c r="E307">
        <f t="shared" si="8"/>
        <v>3000000304</v>
      </c>
      <c r="F307">
        <v>3</v>
      </c>
      <c r="J307">
        <f t="shared" si="9"/>
        <v>20000000303</v>
      </c>
      <c r="K307">
        <v>304</v>
      </c>
    </row>
    <row r="308" spans="1:11" x14ac:dyDescent="0.25">
      <c r="A308" s="8" t="s">
        <v>14</v>
      </c>
      <c r="B308" s="8" t="s">
        <v>743</v>
      </c>
      <c r="C308" s="8" t="s">
        <v>14</v>
      </c>
      <c r="D308" s="8" t="s">
        <v>1759</v>
      </c>
      <c r="E308">
        <f t="shared" si="8"/>
        <v>3000000305</v>
      </c>
      <c r="F308">
        <v>3</v>
      </c>
      <c r="J308">
        <f t="shared" si="9"/>
        <v>20000000304</v>
      </c>
      <c r="K308">
        <v>305</v>
      </c>
    </row>
    <row r="309" spans="1:11" x14ac:dyDescent="0.25">
      <c r="A309" s="8" t="s">
        <v>14</v>
      </c>
      <c r="B309" s="8" t="s">
        <v>15</v>
      </c>
      <c r="C309" s="8" t="s">
        <v>14</v>
      </c>
      <c r="D309" s="8" t="s">
        <v>1760</v>
      </c>
      <c r="E309">
        <f t="shared" si="8"/>
        <v>3000000306</v>
      </c>
      <c r="F309">
        <v>3</v>
      </c>
      <c r="J309">
        <f t="shared" si="9"/>
        <v>20000000305</v>
      </c>
      <c r="K309">
        <v>306</v>
      </c>
    </row>
    <row r="310" spans="1:11" x14ac:dyDescent="0.25">
      <c r="A310" s="8" t="s">
        <v>14</v>
      </c>
      <c r="B310" s="8" t="s">
        <v>190</v>
      </c>
      <c r="C310" s="8" t="s">
        <v>14</v>
      </c>
      <c r="D310" s="8" t="s">
        <v>1761</v>
      </c>
      <c r="E310">
        <f t="shared" si="8"/>
        <v>3000000307</v>
      </c>
      <c r="F310">
        <v>3</v>
      </c>
      <c r="J310">
        <f t="shared" si="9"/>
        <v>20000000306</v>
      </c>
      <c r="K310">
        <v>307</v>
      </c>
    </row>
    <row r="311" spans="1:11" x14ac:dyDescent="0.25">
      <c r="A311" s="8" t="s">
        <v>14</v>
      </c>
      <c r="B311" s="8" t="s">
        <v>1009</v>
      </c>
      <c r="C311" s="8" t="s">
        <v>14</v>
      </c>
      <c r="D311" s="8" t="s">
        <v>1762</v>
      </c>
      <c r="E311">
        <f t="shared" si="8"/>
        <v>3000000308</v>
      </c>
      <c r="F311">
        <v>3</v>
      </c>
      <c r="J311">
        <f t="shared" si="9"/>
        <v>20000000307</v>
      </c>
      <c r="K311">
        <v>308</v>
      </c>
    </row>
    <row r="312" spans="1:11" x14ac:dyDescent="0.25">
      <c r="A312" s="8" t="s">
        <v>14</v>
      </c>
      <c r="B312" s="8" t="s">
        <v>191</v>
      </c>
      <c r="C312" s="8" t="s">
        <v>14</v>
      </c>
      <c r="D312" s="8" t="s">
        <v>1763</v>
      </c>
      <c r="E312">
        <f t="shared" si="8"/>
        <v>3000000309</v>
      </c>
      <c r="F312">
        <v>3</v>
      </c>
      <c r="J312">
        <f t="shared" si="9"/>
        <v>20000000308</v>
      </c>
      <c r="K312">
        <v>309</v>
      </c>
    </row>
    <row r="313" spans="1:11" x14ac:dyDescent="0.25">
      <c r="A313" s="8" t="s">
        <v>14</v>
      </c>
      <c r="B313" s="8" t="s">
        <v>1010</v>
      </c>
      <c r="C313" s="8" t="s">
        <v>14</v>
      </c>
      <c r="D313" s="8" t="s">
        <v>1764</v>
      </c>
      <c r="E313">
        <f t="shared" si="8"/>
        <v>3000000310</v>
      </c>
      <c r="F313">
        <v>3</v>
      </c>
      <c r="J313">
        <f t="shared" si="9"/>
        <v>20000000309</v>
      </c>
      <c r="K313">
        <v>310</v>
      </c>
    </row>
    <row r="314" spans="1:11" x14ac:dyDescent="0.25">
      <c r="A314" s="8" t="s">
        <v>14</v>
      </c>
      <c r="B314" s="8" t="s">
        <v>1103</v>
      </c>
      <c r="C314" s="8" t="s">
        <v>14</v>
      </c>
      <c r="D314" s="8" t="s">
        <v>1765</v>
      </c>
      <c r="E314">
        <f t="shared" si="8"/>
        <v>3000000311</v>
      </c>
      <c r="F314">
        <v>3</v>
      </c>
      <c r="J314">
        <f t="shared" si="9"/>
        <v>20000000310</v>
      </c>
      <c r="K314">
        <v>311</v>
      </c>
    </row>
    <row r="315" spans="1:11" x14ac:dyDescent="0.25">
      <c r="A315" s="8" t="s">
        <v>14</v>
      </c>
      <c r="B315" s="8" t="s">
        <v>1104</v>
      </c>
      <c r="C315" s="8" t="s">
        <v>14</v>
      </c>
      <c r="D315" s="8" t="s">
        <v>1766</v>
      </c>
      <c r="E315">
        <f t="shared" si="8"/>
        <v>3000000312</v>
      </c>
      <c r="F315">
        <v>3</v>
      </c>
      <c r="J315">
        <f t="shared" si="9"/>
        <v>20000000311</v>
      </c>
      <c r="K315">
        <v>312</v>
      </c>
    </row>
    <row r="316" spans="1:11" x14ac:dyDescent="0.25">
      <c r="A316" s="8" t="s">
        <v>14</v>
      </c>
      <c r="B316" s="8" t="s">
        <v>1105</v>
      </c>
      <c r="C316" s="8" t="s">
        <v>14</v>
      </c>
      <c r="D316" s="8" t="s">
        <v>1767</v>
      </c>
      <c r="E316">
        <f t="shared" si="8"/>
        <v>3000000313</v>
      </c>
      <c r="F316">
        <v>3</v>
      </c>
      <c r="J316">
        <f t="shared" si="9"/>
        <v>20000000312</v>
      </c>
      <c r="K316">
        <v>313</v>
      </c>
    </row>
    <row r="317" spans="1:11" x14ac:dyDescent="0.25">
      <c r="A317" s="8" t="s">
        <v>14</v>
      </c>
      <c r="B317" s="8" t="s">
        <v>1106</v>
      </c>
      <c r="C317" s="8" t="s">
        <v>14</v>
      </c>
      <c r="D317" s="8" t="s">
        <v>1768</v>
      </c>
      <c r="E317">
        <f t="shared" si="8"/>
        <v>3000000314</v>
      </c>
      <c r="F317">
        <v>3</v>
      </c>
      <c r="J317">
        <f t="shared" si="9"/>
        <v>20000000313</v>
      </c>
      <c r="K317">
        <v>314</v>
      </c>
    </row>
    <row r="318" spans="1:11" x14ac:dyDescent="0.25">
      <c r="A318" s="8" t="s">
        <v>14</v>
      </c>
      <c r="B318" s="8" t="s">
        <v>1107</v>
      </c>
      <c r="C318" s="8" t="s">
        <v>14</v>
      </c>
      <c r="D318" s="8" t="s">
        <v>1769</v>
      </c>
      <c r="E318">
        <f t="shared" si="8"/>
        <v>3000000315</v>
      </c>
      <c r="F318">
        <v>3</v>
      </c>
      <c r="J318">
        <f t="shared" si="9"/>
        <v>20000000314</v>
      </c>
      <c r="K318">
        <v>315</v>
      </c>
    </row>
    <row r="319" spans="1:11" x14ac:dyDescent="0.25">
      <c r="A319" s="8" t="s">
        <v>14</v>
      </c>
      <c r="B319" s="8" t="s">
        <v>744</v>
      </c>
      <c r="C319" s="8" t="s">
        <v>14</v>
      </c>
      <c r="D319" s="8" t="s">
        <v>1770</v>
      </c>
      <c r="E319">
        <f t="shared" si="8"/>
        <v>3000000316</v>
      </c>
      <c r="F319">
        <v>3</v>
      </c>
      <c r="J319">
        <f t="shared" si="9"/>
        <v>20000000315</v>
      </c>
      <c r="K319">
        <v>316</v>
      </c>
    </row>
    <row r="320" spans="1:11" x14ac:dyDescent="0.25">
      <c r="A320" s="8" t="s">
        <v>14</v>
      </c>
      <c r="B320" s="8" t="s">
        <v>1108</v>
      </c>
      <c r="C320" s="8" t="s">
        <v>14</v>
      </c>
      <c r="D320" s="8" t="s">
        <v>1771</v>
      </c>
      <c r="E320">
        <f t="shared" si="8"/>
        <v>3000000317</v>
      </c>
      <c r="F320">
        <v>3</v>
      </c>
      <c r="J320">
        <f t="shared" si="9"/>
        <v>20000000316</v>
      </c>
      <c r="K320">
        <v>317</v>
      </c>
    </row>
    <row r="321" spans="1:11" x14ac:dyDescent="0.25">
      <c r="A321" s="8" t="s">
        <v>14</v>
      </c>
      <c r="B321" s="8" t="s">
        <v>18</v>
      </c>
      <c r="C321" s="8" t="s">
        <v>14</v>
      </c>
      <c r="D321" s="8" t="s">
        <v>1772</v>
      </c>
      <c r="E321">
        <f t="shared" si="8"/>
        <v>3000000318</v>
      </c>
      <c r="F321">
        <v>3</v>
      </c>
      <c r="J321">
        <f t="shared" si="9"/>
        <v>20000000317</v>
      </c>
      <c r="K321">
        <v>318</v>
      </c>
    </row>
    <row r="322" spans="1:11" x14ac:dyDescent="0.25">
      <c r="A322" s="8" t="s">
        <v>14</v>
      </c>
      <c r="B322" s="8" t="s">
        <v>19</v>
      </c>
      <c r="C322" s="8" t="s">
        <v>14</v>
      </c>
      <c r="D322" s="8" t="s">
        <v>1773</v>
      </c>
      <c r="E322">
        <f t="shared" si="8"/>
        <v>3000000319</v>
      </c>
      <c r="F322">
        <v>3</v>
      </c>
      <c r="J322">
        <f t="shared" si="9"/>
        <v>20000000318</v>
      </c>
      <c r="K322">
        <v>319</v>
      </c>
    </row>
    <row r="323" spans="1:11" x14ac:dyDescent="0.25">
      <c r="A323" s="8" t="s">
        <v>14</v>
      </c>
      <c r="B323" s="8" t="s">
        <v>192</v>
      </c>
      <c r="C323" s="8" t="s">
        <v>14</v>
      </c>
      <c r="D323" s="8" t="s">
        <v>1774</v>
      </c>
      <c r="E323">
        <f t="shared" ref="E323:E386" si="10">IF(F323="",J323,IF(G323="",F323*$F$2+K323,IF(H323="",F323*$F$2+G323*$G$2+K323,IF(I323="",F323*$F$2+G323*$G$2+H323*$H$2+K323,F323*$F$2+G323*$G$2+H323*$H$2+I323*$I$2+K323))))</f>
        <v>3000000320</v>
      </c>
      <c r="F323">
        <v>3</v>
      </c>
      <c r="J323">
        <f t="shared" si="9"/>
        <v>20000000319</v>
      </c>
      <c r="K323">
        <v>320</v>
      </c>
    </row>
    <row r="324" spans="1:11" x14ac:dyDescent="0.25">
      <c r="A324" s="8" t="s">
        <v>14</v>
      </c>
      <c r="B324" s="8" t="s">
        <v>193</v>
      </c>
      <c r="C324" s="8" t="s">
        <v>14</v>
      </c>
      <c r="D324" s="8" t="s">
        <v>1775</v>
      </c>
      <c r="E324">
        <f t="shared" si="10"/>
        <v>3000000321</v>
      </c>
      <c r="F324">
        <v>3</v>
      </c>
      <c r="J324">
        <f t="shared" si="9"/>
        <v>20000000320</v>
      </c>
      <c r="K324">
        <v>321</v>
      </c>
    </row>
    <row r="325" spans="1:11" x14ac:dyDescent="0.25">
      <c r="A325" s="8" t="s">
        <v>14</v>
      </c>
      <c r="B325" s="8" t="s">
        <v>194</v>
      </c>
      <c r="C325" s="8" t="s">
        <v>14</v>
      </c>
      <c r="D325" s="8" t="s">
        <v>1776</v>
      </c>
      <c r="E325">
        <f t="shared" si="10"/>
        <v>3000000322</v>
      </c>
      <c r="F325">
        <v>3</v>
      </c>
      <c r="J325">
        <f t="shared" si="9"/>
        <v>20000000321</v>
      </c>
      <c r="K325">
        <v>322</v>
      </c>
    </row>
    <row r="326" spans="1:11" x14ac:dyDescent="0.25">
      <c r="A326" s="8" t="s">
        <v>14</v>
      </c>
      <c r="B326" s="8" t="s">
        <v>50</v>
      </c>
      <c r="C326" s="8" t="s">
        <v>14</v>
      </c>
      <c r="D326" s="8" t="s">
        <v>1777</v>
      </c>
      <c r="E326">
        <f t="shared" si="10"/>
        <v>3000000323</v>
      </c>
      <c r="F326">
        <v>3</v>
      </c>
      <c r="J326">
        <f t="shared" si="9"/>
        <v>20000000322</v>
      </c>
      <c r="K326">
        <v>323</v>
      </c>
    </row>
    <row r="327" spans="1:11" x14ac:dyDescent="0.25">
      <c r="A327" s="8" t="s">
        <v>14</v>
      </c>
      <c r="B327" s="8" t="s">
        <v>49</v>
      </c>
      <c r="C327" s="8" t="s">
        <v>14</v>
      </c>
      <c r="D327" s="8" t="s">
        <v>1778</v>
      </c>
      <c r="E327">
        <f t="shared" si="10"/>
        <v>3000000324</v>
      </c>
      <c r="F327">
        <v>3</v>
      </c>
      <c r="J327">
        <f t="shared" ref="J327:J390" si="11">J326+1</f>
        <v>20000000323</v>
      </c>
      <c r="K327">
        <v>324</v>
      </c>
    </row>
    <row r="328" spans="1:11" x14ac:dyDescent="0.25">
      <c r="A328" s="8" t="s">
        <v>14</v>
      </c>
      <c r="B328" s="8" t="s">
        <v>195</v>
      </c>
      <c r="C328" s="8" t="s">
        <v>14</v>
      </c>
      <c r="D328" s="8" t="s">
        <v>1779</v>
      </c>
      <c r="E328">
        <f t="shared" si="10"/>
        <v>3000000325</v>
      </c>
      <c r="F328">
        <v>3</v>
      </c>
      <c r="J328">
        <f t="shared" si="11"/>
        <v>20000000324</v>
      </c>
      <c r="K328">
        <v>325</v>
      </c>
    </row>
    <row r="329" spans="1:11" x14ac:dyDescent="0.25">
      <c r="A329" s="8" t="s">
        <v>14</v>
      </c>
      <c r="B329" s="8" t="s">
        <v>48</v>
      </c>
      <c r="C329" s="8" t="s">
        <v>14</v>
      </c>
      <c r="D329" s="8" t="s">
        <v>1780</v>
      </c>
      <c r="E329">
        <f t="shared" si="10"/>
        <v>3000000326</v>
      </c>
      <c r="F329">
        <v>3</v>
      </c>
      <c r="J329">
        <f t="shared" si="11"/>
        <v>20000000325</v>
      </c>
      <c r="K329">
        <v>326</v>
      </c>
    </row>
    <row r="330" spans="1:11" x14ac:dyDescent="0.25">
      <c r="A330" s="8" t="s">
        <v>14</v>
      </c>
      <c r="B330" s="8" t="s">
        <v>47</v>
      </c>
      <c r="C330" s="8" t="s">
        <v>14</v>
      </c>
      <c r="D330" s="8" t="s">
        <v>1781</v>
      </c>
      <c r="E330">
        <f t="shared" si="10"/>
        <v>3000000327</v>
      </c>
      <c r="F330">
        <v>3</v>
      </c>
      <c r="J330">
        <f t="shared" si="11"/>
        <v>20000000326</v>
      </c>
      <c r="K330">
        <v>327</v>
      </c>
    </row>
    <row r="331" spans="1:11" x14ac:dyDescent="0.25">
      <c r="A331" s="8" t="s">
        <v>14</v>
      </c>
      <c r="B331" s="8" t="s">
        <v>196</v>
      </c>
      <c r="C331" s="8" t="s">
        <v>14</v>
      </c>
      <c r="D331" s="8" t="s">
        <v>1782</v>
      </c>
      <c r="E331">
        <f t="shared" si="10"/>
        <v>3000000328</v>
      </c>
      <c r="F331">
        <v>3</v>
      </c>
      <c r="J331">
        <f t="shared" si="11"/>
        <v>20000000327</v>
      </c>
      <c r="K331">
        <v>328</v>
      </c>
    </row>
    <row r="332" spans="1:11" x14ac:dyDescent="0.25">
      <c r="A332" s="8" t="s">
        <v>14</v>
      </c>
      <c r="B332" s="8" t="s">
        <v>197</v>
      </c>
      <c r="C332" s="8" t="s">
        <v>14</v>
      </c>
      <c r="D332" s="8" t="s">
        <v>1783</v>
      </c>
      <c r="E332">
        <f t="shared" si="10"/>
        <v>3000000329</v>
      </c>
      <c r="F332">
        <v>3</v>
      </c>
      <c r="J332">
        <f t="shared" si="11"/>
        <v>20000000328</v>
      </c>
      <c r="K332">
        <v>329</v>
      </c>
    </row>
    <row r="333" spans="1:11" x14ac:dyDescent="0.25">
      <c r="A333" s="8" t="s">
        <v>14</v>
      </c>
      <c r="B333" s="8" t="s">
        <v>198</v>
      </c>
      <c r="C333" s="8" t="s">
        <v>14</v>
      </c>
      <c r="D333" s="8" t="s">
        <v>1784</v>
      </c>
      <c r="E333">
        <f t="shared" si="10"/>
        <v>3000000330</v>
      </c>
      <c r="F333">
        <v>3</v>
      </c>
      <c r="J333">
        <f t="shared" si="11"/>
        <v>20000000329</v>
      </c>
      <c r="K333">
        <v>330</v>
      </c>
    </row>
    <row r="334" spans="1:11" x14ac:dyDescent="0.25">
      <c r="A334" s="8" t="s">
        <v>14</v>
      </c>
      <c r="B334" s="8" t="s">
        <v>955</v>
      </c>
      <c r="C334" s="8" t="s">
        <v>14</v>
      </c>
      <c r="D334" s="8" t="s">
        <v>1785</v>
      </c>
      <c r="E334">
        <f t="shared" si="10"/>
        <v>3000000331</v>
      </c>
      <c r="F334">
        <v>3</v>
      </c>
      <c r="J334">
        <f t="shared" si="11"/>
        <v>20000000330</v>
      </c>
      <c r="K334">
        <v>331</v>
      </c>
    </row>
    <row r="335" spans="1:11" x14ac:dyDescent="0.25">
      <c r="A335" s="8" t="s">
        <v>14</v>
      </c>
      <c r="B335" s="8" t="s">
        <v>745</v>
      </c>
      <c r="C335" s="8" t="s">
        <v>14</v>
      </c>
      <c r="D335" s="8" t="s">
        <v>1786</v>
      </c>
      <c r="E335">
        <f t="shared" si="10"/>
        <v>3000000332</v>
      </c>
      <c r="F335">
        <v>3</v>
      </c>
      <c r="J335">
        <f t="shared" si="11"/>
        <v>20000000331</v>
      </c>
      <c r="K335">
        <v>332</v>
      </c>
    </row>
    <row r="336" spans="1:11" x14ac:dyDescent="0.25">
      <c r="A336" s="8" t="s">
        <v>14</v>
      </c>
      <c r="B336" s="8" t="s">
        <v>1436</v>
      </c>
      <c r="C336" s="8" t="s">
        <v>14</v>
      </c>
      <c r="D336" s="8" t="s">
        <v>1787</v>
      </c>
      <c r="E336">
        <f t="shared" si="10"/>
        <v>3000000333</v>
      </c>
      <c r="F336">
        <v>3</v>
      </c>
      <c r="J336">
        <f t="shared" si="11"/>
        <v>20000000332</v>
      </c>
      <c r="K336">
        <v>333</v>
      </c>
    </row>
    <row r="337" spans="1:11" x14ac:dyDescent="0.25">
      <c r="A337" s="8" t="s">
        <v>14</v>
      </c>
      <c r="B337" s="8" t="s">
        <v>1437</v>
      </c>
      <c r="C337" s="8" t="s">
        <v>14</v>
      </c>
      <c r="D337" s="8" t="s">
        <v>1788</v>
      </c>
      <c r="E337">
        <f t="shared" si="10"/>
        <v>3000000334</v>
      </c>
      <c r="F337">
        <v>3</v>
      </c>
      <c r="J337">
        <f t="shared" si="11"/>
        <v>20000000333</v>
      </c>
      <c r="K337">
        <v>334</v>
      </c>
    </row>
    <row r="338" spans="1:11" x14ac:dyDescent="0.25">
      <c r="A338" s="8" t="s">
        <v>14</v>
      </c>
      <c r="B338" s="8" t="s">
        <v>199</v>
      </c>
      <c r="C338" s="8" t="s">
        <v>14</v>
      </c>
      <c r="D338" s="8" t="s">
        <v>1789</v>
      </c>
      <c r="E338">
        <f t="shared" si="10"/>
        <v>3000000335</v>
      </c>
      <c r="F338">
        <v>3</v>
      </c>
      <c r="J338">
        <f t="shared" si="11"/>
        <v>20000000334</v>
      </c>
      <c r="K338">
        <v>335</v>
      </c>
    </row>
    <row r="339" spans="1:11" x14ac:dyDescent="0.25">
      <c r="A339" s="8" t="s">
        <v>200</v>
      </c>
      <c r="B339" s="8" t="s">
        <v>201</v>
      </c>
      <c r="C339" s="8" t="s">
        <v>200</v>
      </c>
      <c r="D339" s="8" t="s">
        <v>1790</v>
      </c>
      <c r="E339">
        <f t="shared" si="10"/>
        <v>4000000336</v>
      </c>
      <c r="F339">
        <v>4</v>
      </c>
      <c r="J339">
        <f t="shared" si="11"/>
        <v>20000000335</v>
      </c>
      <c r="K339">
        <v>336</v>
      </c>
    </row>
    <row r="340" spans="1:11" x14ac:dyDescent="0.25">
      <c r="A340" s="8" t="s">
        <v>200</v>
      </c>
      <c r="B340" s="8">
        <v>4000019</v>
      </c>
      <c r="C340" s="8" t="s">
        <v>200</v>
      </c>
      <c r="D340" s="8" t="s">
        <v>1791</v>
      </c>
      <c r="E340">
        <f t="shared" si="10"/>
        <v>1000000337</v>
      </c>
      <c r="F340">
        <v>1</v>
      </c>
      <c r="J340">
        <f t="shared" si="11"/>
        <v>20000000336</v>
      </c>
      <c r="K340">
        <v>337</v>
      </c>
    </row>
    <row r="341" spans="1:11" x14ac:dyDescent="0.25">
      <c r="A341" s="8" t="s">
        <v>200</v>
      </c>
      <c r="B341" s="8">
        <v>4000020</v>
      </c>
      <c r="C341" s="8" t="s">
        <v>200</v>
      </c>
      <c r="D341" s="8" t="s">
        <v>1792</v>
      </c>
      <c r="E341">
        <f t="shared" si="10"/>
        <v>1000000338</v>
      </c>
      <c r="F341">
        <v>1</v>
      </c>
      <c r="J341">
        <f t="shared" si="11"/>
        <v>20000000337</v>
      </c>
      <c r="K341">
        <v>338</v>
      </c>
    </row>
    <row r="342" spans="1:11" x14ac:dyDescent="0.25">
      <c r="A342" s="8" t="s">
        <v>200</v>
      </c>
      <c r="B342" s="8">
        <v>4000048</v>
      </c>
      <c r="C342" s="8" t="s">
        <v>200</v>
      </c>
      <c r="D342" s="8" t="s">
        <v>1793</v>
      </c>
      <c r="E342">
        <f t="shared" si="10"/>
        <v>4000000339</v>
      </c>
      <c r="F342">
        <v>4</v>
      </c>
      <c r="J342">
        <f t="shared" si="11"/>
        <v>20000000338</v>
      </c>
      <c r="K342">
        <v>339</v>
      </c>
    </row>
    <row r="343" spans="1:11" x14ac:dyDescent="0.25">
      <c r="A343" s="8" t="s">
        <v>200</v>
      </c>
      <c r="B343" s="8" t="s">
        <v>202</v>
      </c>
      <c r="C343" s="8" t="s">
        <v>200</v>
      </c>
      <c r="D343" s="8" t="s">
        <v>1794</v>
      </c>
      <c r="E343">
        <f t="shared" si="10"/>
        <v>4000000340</v>
      </c>
      <c r="F343">
        <v>4</v>
      </c>
      <c r="J343">
        <f t="shared" si="11"/>
        <v>20000000339</v>
      </c>
      <c r="K343">
        <v>340</v>
      </c>
    </row>
    <row r="344" spans="1:11" x14ac:dyDescent="0.25">
      <c r="A344" s="8" t="s">
        <v>200</v>
      </c>
      <c r="B344" s="8">
        <v>4000051</v>
      </c>
      <c r="C344" s="8" t="s">
        <v>200</v>
      </c>
      <c r="D344" s="8" t="s">
        <v>1795</v>
      </c>
      <c r="E344">
        <f t="shared" si="10"/>
        <v>4000000341</v>
      </c>
      <c r="F344">
        <v>4</v>
      </c>
      <c r="J344">
        <f t="shared" si="11"/>
        <v>20000000340</v>
      </c>
      <c r="K344">
        <v>341</v>
      </c>
    </row>
    <row r="345" spans="1:11" x14ac:dyDescent="0.25">
      <c r="A345" s="8" t="s">
        <v>200</v>
      </c>
      <c r="B345" s="8">
        <v>4000052</v>
      </c>
      <c r="C345" s="8" t="s">
        <v>200</v>
      </c>
      <c r="D345" s="8" t="s">
        <v>1796</v>
      </c>
      <c r="E345">
        <f t="shared" si="10"/>
        <v>4000000342</v>
      </c>
      <c r="F345">
        <v>4</v>
      </c>
      <c r="J345">
        <f t="shared" si="11"/>
        <v>20000000341</v>
      </c>
      <c r="K345">
        <v>342</v>
      </c>
    </row>
    <row r="346" spans="1:11" x14ac:dyDescent="0.25">
      <c r="A346" s="8" t="s">
        <v>200</v>
      </c>
      <c r="B346" s="8">
        <v>4000073</v>
      </c>
      <c r="C346" s="8" t="s">
        <v>200</v>
      </c>
      <c r="D346" s="8" t="s">
        <v>1797</v>
      </c>
      <c r="E346">
        <f t="shared" si="10"/>
        <v>4000000343</v>
      </c>
      <c r="F346">
        <v>4</v>
      </c>
      <c r="J346">
        <f t="shared" si="11"/>
        <v>20000000342</v>
      </c>
      <c r="K346">
        <v>343</v>
      </c>
    </row>
    <row r="347" spans="1:11" x14ac:dyDescent="0.25">
      <c r="A347" s="8" t="s">
        <v>200</v>
      </c>
      <c r="B347" s="8">
        <v>4000080</v>
      </c>
      <c r="C347" s="8" t="s">
        <v>200</v>
      </c>
      <c r="D347" s="8" t="s">
        <v>1798</v>
      </c>
      <c r="E347">
        <f t="shared" si="10"/>
        <v>4000000344</v>
      </c>
      <c r="F347">
        <v>4</v>
      </c>
      <c r="J347">
        <f t="shared" si="11"/>
        <v>20000000343</v>
      </c>
      <c r="K347">
        <v>344</v>
      </c>
    </row>
    <row r="348" spans="1:11" x14ac:dyDescent="0.25">
      <c r="A348" s="8" t="s">
        <v>200</v>
      </c>
      <c r="B348" s="8">
        <v>4000091</v>
      </c>
      <c r="C348" s="8" t="s">
        <v>200</v>
      </c>
      <c r="D348" s="8" t="s">
        <v>1799</v>
      </c>
      <c r="E348">
        <f t="shared" si="10"/>
        <v>4000000345</v>
      </c>
      <c r="F348">
        <v>4</v>
      </c>
      <c r="J348">
        <f t="shared" si="11"/>
        <v>20000000344</v>
      </c>
      <c r="K348">
        <v>345</v>
      </c>
    </row>
    <row r="349" spans="1:11" x14ac:dyDescent="0.25">
      <c r="A349" s="8" t="s">
        <v>200</v>
      </c>
      <c r="B349" s="8">
        <v>4000115</v>
      </c>
      <c r="C349" s="8" t="s">
        <v>200</v>
      </c>
      <c r="D349" s="8" t="s">
        <v>1800</v>
      </c>
      <c r="E349">
        <f t="shared" si="10"/>
        <v>4000000346</v>
      </c>
      <c r="F349">
        <v>4</v>
      </c>
      <c r="J349">
        <f t="shared" si="11"/>
        <v>20000000345</v>
      </c>
      <c r="K349">
        <v>346</v>
      </c>
    </row>
    <row r="350" spans="1:11" x14ac:dyDescent="0.25">
      <c r="A350" s="8" t="s">
        <v>200</v>
      </c>
      <c r="B350" s="8">
        <v>4000122</v>
      </c>
      <c r="C350" s="8" t="s">
        <v>200</v>
      </c>
      <c r="D350" s="8" t="s">
        <v>1801</v>
      </c>
      <c r="E350">
        <f t="shared" si="10"/>
        <v>4000000347</v>
      </c>
      <c r="F350">
        <v>4</v>
      </c>
      <c r="J350">
        <f t="shared" si="11"/>
        <v>20000000346</v>
      </c>
      <c r="K350">
        <v>347</v>
      </c>
    </row>
    <row r="351" spans="1:11" x14ac:dyDescent="0.25">
      <c r="A351" s="8" t="s">
        <v>200</v>
      </c>
      <c r="B351" s="8">
        <v>4000156</v>
      </c>
      <c r="C351" s="8" t="s">
        <v>200</v>
      </c>
      <c r="D351" s="8" t="s">
        <v>1802</v>
      </c>
      <c r="E351">
        <f t="shared" si="10"/>
        <v>4000000348</v>
      </c>
      <c r="F351">
        <v>4</v>
      </c>
      <c r="J351">
        <f t="shared" si="11"/>
        <v>20000000347</v>
      </c>
      <c r="K351">
        <v>348</v>
      </c>
    </row>
    <row r="352" spans="1:11" x14ac:dyDescent="0.25">
      <c r="A352" s="8" t="s">
        <v>200</v>
      </c>
      <c r="B352" s="8">
        <v>4000157</v>
      </c>
      <c r="C352" s="8" t="s">
        <v>200</v>
      </c>
      <c r="D352" s="8" t="s">
        <v>1803</v>
      </c>
      <c r="E352">
        <f t="shared" si="10"/>
        <v>4000000349</v>
      </c>
      <c r="F352">
        <v>4</v>
      </c>
      <c r="J352">
        <f t="shared" si="11"/>
        <v>20000000348</v>
      </c>
      <c r="K352">
        <v>349</v>
      </c>
    </row>
    <row r="353" spans="1:11" x14ac:dyDescent="0.25">
      <c r="A353" s="8" t="s">
        <v>200</v>
      </c>
      <c r="B353" s="8">
        <v>4000162</v>
      </c>
      <c r="C353" s="8" t="s">
        <v>200</v>
      </c>
      <c r="D353" s="8" t="s">
        <v>1804</v>
      </c>
      <c r="E353">
        <f t="shared" si="10"/>
        <v>4000000350</v>
      </c>
      <c r="F353">
        <v>4</v>
      </c>
      <c r="J353">
        <f t="shared" si="11"/>
        <v>20000000349</v>
      </c>
      <c r="K353">
        <v>350</v>
      </c>
    </row>
    <row r="354" spans="1:11" x14ac:dyDescent="0.25">
      <c r="A354" s="8" t="s">
        <v>200</v>
      </c>
      <c r="B354" s="8">
        <v>4000176</v>
      </c>
      <c r="C354" s="8" t="s">
        <v>200</v>
      </c>
      <c r="D354" s="8" t="s">
        <v>1805</v>
      </c>
      <c r="E354">
        <f t="shared" si="10"/>
        <v>4000000351</v>
      </c>
      <c r="F354">
        <v>4</v>
      </c>
      <c r="J354">
        <f t="shared" si="11"/>
        <v>20000000350</v>
      </c>
      <c r="K354">
        <v>351</v>
      </c>
    </row>
    <row r="355" spans="1:11" x14ac:dyDescent="0.25">
      <c r="A355" s="8" t="s">
        <v>200</v>
      </c>
      <c r="B355" s="8">
        <v>4000367</v>
      </c>
      <c r="C355" s="8" t="s">
        <v>200</v>
      </c>
      <c r="D355" s="8" t="s">
        <v>1806</v>
      </c>
      <c r="E355">
        <f t="shared" si="10"/>
        <v>4000000352</v>
      </c>
      <c r="F355">
        <v>4</v>
      </c>
      <c r="J355">
        <f t="shared" si="11"/>
        <v>20000000351</v>
      </c>
      <c r="K355">
        <v>352</v>
      </c>
    </row>
    <row r="356" spans="1:11" x14ac:dyDescent="0.25">
      <c r="A356" s="8" t="s">
        <v>200</v>
      </c>
      <c r="B356" s="8">
        <v>4000430</v>
      </c>
      <c r="C356" s="8" t="s">
        <v>200</v>
      </c>
      <c r="D356" s="8" t="s">
        <v>1807</v>
      </c>
      <c r="E356">
        <f t="shared" si="10"/>
        <v>4000000353</v>
      </c>
      <c r="F356">
        <v>4</v>
      </c>
      <c r="J356">
        <f t="shared" si="11"/>
        <v>20000000352</v>
      </c>
      <c r="K356">
        <v>353</v>
      </c>
    </row>
    <row r="357" spans="1:11" x14ac:dyDescent="0.25">
      <c r="A357" s="8" t="s">
        <v>200</v>
      </c>
      <c r="B357" s="8" t="s">
        <v>203</v>
      </c>
      <c r="C357" s="8" t="s">
        <v>200</v>
      </c>
      <c r="D357" s="8" t="s">
        <v>1808</v>
      </c>
      <c r="E357">
        <f t="shared" si="10"/>
        <v>4000000354</v>
      </c>
      <c r="F357">
        <v>4</v>
      </c>
      <c r="J357">
        <f t="shared" si="11"/>
        <v>20000000353</v>
      </c>
      <c r="K357">
        <v>354</v>
      </c>
    </row>
    <row r="358" spans="1:11" x14ac:dyDescent="0.25">
      <c r="A358" s="8" t="s">
        <v>200</v>
      </c>
      <c r="B358" s="8" t="s">
        <v>204</v>
      </c>
      <c r="C358" s="8" t="s">
        <v>200</v>
      </c>
      <c r="D358" s="8" t="s">
        <v>1809</v>
      </c>
      <c r="E358">
        <f t="shared" si="10"/>
        <v>4000000355</v>
      </c>
      <c r="F358">
        <v>4</v>
      </c>
      <c r="J358">
        <f t="shared" si="11"/>
        <v>20000000354</v>
      </c>
      <c r="K358">
        <v>355</v>
      </c>
    </row>
    <row r="359" spans="1:11" x14ac:dyDescent="0.25">
      <c r="A359" s="8" t="s">
        <v>200</v>
      </c>
      <c r="B359" s="8">
        <v>4000662</v>
      </c>
      <c r="C359" s="8" t="s">
        <v>200</v>
      </c>
      <c r="D359" s="8" t="s">
        <v>1810</v>
      </c>
      <c r="E359">
        <f t="shared" si="10"/>
        <v>1000000356</v>
      </c>
      <c r="F359">
        <v>1</v>
      </c>
      <c r="J359">
        <f t="shared" si="11"/>
        <v>20000000355</v>
      </c>
      <c r="K359">
        <v>356</v>
      </c>
    </row>
    <row r="360" spans="1:11" x14ac:dyDescent="0.25">
      <c r="A360" s="8" t="s">
        <v>200</v>
      </c>
      <c r="B360" s="8">
        <v>4005394</v>
      </c>
      <c r="C360" s="8" t="s">
        <v>200</v>
      </c>
      <c r="D360" s="8" t="s">
        <v>1811</v>
      </c>
      <c r="E360">
        <f t="shared" si="10"/>
        <v>4000000357</v>
      </c>
      <c r="F360">
        <v>4</v>
      </c>
      <c r="J360">
        <f t="shared" si="11"/>
        <v>20000000356</v>
      </c>
      <c r="K360">
        <v>357</v>
      </c>
    </row>
    <row r="361" spans="1:11" x14ac:dyDescent="0.25">
      <c r="A361" s="8" t="s">
        <v>898</v>
      </c>
      <c r="B361" s="8" t="s">
        <v>956</v>
      </c>
      <c r="C361" s="8" t="s">
        <v>898</v>
      </c>
      <c r="D361" s="8" t="s">
        <v>1812</v>
      </c>
      <c r="E361">
        <f t="shared" si="10"/>
        <v>6000000358</v>
      </c>
      <c r="F361">
        <v>6</v>
      </c>
      <c r="J361">
        <f t="shared" si="11"/>
        <v>20000000357</v>
      </c>
      <c r="K361">
        <v>358</v>
      </c>
    </row>
    <row r="362" spans="1:11" x14ac:dyDescent="0.25">
      <c r="A362" s="8" t="s">
        <v>898</v>
      </c>
      <c r="B362" s="8" t="s">
        <v>957</v>
      </c>
      <c r="C362" s="8" t="s">
        <v>898</v>
      </c>
      <c r="D362" s="8" t="s">
        <v>1813</v>
      </c>
      <c r="E362">
        <f t="shared" si="10"/>
        <v>6000000359</v>
      </c>
      <c r="F362">
        <v>6</v>
      </c>
      <c r="J362">
        <f t="shared" si="11"/>
        <v>20000000358</v>
      </c>
      <c r="K362">
        <v>359</v>
      </c>
    </row>
    <row r="363" spans="1:11" x14ac:dyDescent="0.25">
      <c r="A363" s="8" t="s">
        <v>898</v>
      </c>
      <c r="B363" s="8" t="s">
        <v>1109</v>
      </c>
      <c r="C363" s="8" t="s">
        <v>898</v>
      </c>
      <c r="D363" s="8" t="s">
        <v>1814</v>
      </c>
      <c r="E363">
        <f t="shared" si="10"/>
        <v>6000000360</v>
      </c>
      <c r="F363">
        <v>6</v>
      </c>
      <c r="J363">
        <f t="shared" si="11"/>
        <v>20000000359</v>
      </c>
      <c r="K363">
        <v>360</v>
      </c>
    </row>
    <row r="364" spans="1:11" x14ac:dyDescent="0.25">
      <c r="A364" s="8" t="s">
        <v>746</v>
      </c>
      <c r="B364" s="8">
        <v>256631</v>
      </c>
      <c r="C364" s="8" t="s">
        <v>746</v>
      </c>
      <c r="D364" s="8" t="s">
        <v>1815</v>
      </c>
      <c r="E364">
        <f t="shared" si="10"/>
        <v>6000000361</v>
      </c>
      <c r="F364">
        <v>6</v>
      </c>
      <c r="J364">
        <f t="shared" si="11"/>
        <v>20000000360</v>
      </c>
      <c r="K364">
        <v>361</v>
      </c>
    </row>
    <row r="365" spans="1:11" x14ac:dyDescent="0.25">
      <c r="A365" s="8" t="s">
        <v>746</v>
      </c>
      <c r="B365" s="8">
        <v>690347</v>
      </c>
      <c r="C365" s="8" t="s">
        <v>746</v>
      </c>
      <c r="D365" s="8" t="s">
        <v>1816</v>
      </c>
      <c r="E365">
        <f t="shared" si="10"/>
        <v>6000000362</v>
      </c>
      <c r="F365">
        <v>6</v>
      </c>
      <c r="J365">
        <f t="shared" si="11"/>
        <v>20000000361</v>
      </c>
      <c r="K365">
        <v>362</v>
      </c>
    </row>
    <row r="366" spans="1:11" x14ac:dyDescent="0.25">
      <c r="A366" s="8" t="s">
        <v>746</v>
      </c>
      <c r="B366" s="8">
        <v>1133167</v>
      </c>
      <c r="C366" s="8" t="s">
        <v>746</v>
      </c>
      <c r="D366" s="8" t="s">
        <v>1817</v>
      </c>
      <c r="E366">
        <f t="shared" si="10"/>
        <v>6000000363</v>
      </c>
      <c r="F366">
        <v>6</v>
      </c>
      <c r="J366">
        <f t="shared" si="11"/>
        <v>20000000362</v>
      </c>
      <c r="K366">
        <v>363</v>
      </c>
    </row>
    <row r="367" spans="1:11" x14ac:dyDescent="0.25">
      <c r="A367" s="8" t="s">
        <v>746</v>
      </c>
      <c r="B367" s="8">
        <v>11553536</v>
      </c>
      <c r="C367" s="8" t="s">
        <v>746</v>
      </c>
      <c r="D367" s="8" t="s">
        <v>1818</v>
      </c>
      <c r="E367">
        <f t="shared" si="10"/>
        <v>6000000364</v>
      </c>
      <c r="F367">
        <v>6</v>
      </c>
      <c r="J367">
        <f t="shared" si="11"/>
        <v>20000000363</v>
      </c>
      <c r="K367">
        <v>364</v>
      </c>
    </row>
    <row r="368" spans="1:11" x14ac:dyDescent="0.25">
      <c r="A368" s="8" t="s">
        <v>746</v>
      </c>
      <c r="B368" s="8">
        <v>31933</v>
      </c>
      <c r="C368" s="8" t="s">
        <v>746</v>
      </c>
      <c r="D368" s="8" t="s">
        <v>1819</v>
      </c>
      <c r="E368">
        <f t="shared" si="10"/>
        <v>6000000365</v>
      </c>
      <c r="F368">
        <v>6</v>
      </c>
      <c r="J368">
        <f t="shared" si="11"/>
        <v>20000000364</v>
      </c>
      <c r="K368">
        <v>365</v>
      </c>
    </row>
    <row r="369" spans="1:11" x14ac:dyDescent="0.25">
      <c r="A369" s="8" t="s">
        <v>746</v>
      </c>
      <c r="B369" s="8">
        <v>74514</v>
      </c>
      <c r="C369" s="8" t="s">
        <v>746</v>
      </c>
      <c r="D369" s="8" t="s">
        <v>1820</v>
      </c>
      <c r="E369">
        <f t="shared" si="10"/>
        <v>6000000366</v>
      </c>
      <c r="F369">
        <v>6</v>
      </c>
      <c r="J369">
        <f t="shared" si="11"/>
        <v>20000000365</v>
      </c>
      <c r="K369">
        <v>366</v>
      </c>
    </row>
    <row r="370" spans="1:11" x14ac:dyDescent="0.25">
      <c r="A370" s="8" t="s">
        <v>54</v>
      </c>
      <c r="B370" s="8" t="s">
        <v>1110</v>
      </c>
      <c r="C370" s="8" t="s">
        <v>54</v>
      </c>
      <c r="D370" s="8" t="s">
        <v>1821</v>
      </c>
      <c r="E370">
        <f t="shared" si="10"/>
        <v>6000000367</v>
      </c>
      <c r="F370">
        <v>6</v>
      </c>
      <c r="J370">
        <f t="shared" si="11"/>
        <v>20000000366</v>
      </c>
      <c r="K370">
        <v>367</v>
      </c>
    </row>
    <row r="371" spans="1:11" x14ac:dyDescent="0.25">
      <c r="A371" s="8" t="s">
        <v>54</v>
      </c>
      <c r="B371" s="8" t="s">
        <v>1111</v>
      </c>
      <c r="C371" s="8" t="s">
        <v>54</v>
      </c>
      <c r="D371" s="8" t="s">
        <v>1822</v>
      </c>
      <c r="E371">
        <f t="shared" si="10"/>
        <v>6000000368</v>
      </c>
      <c r="F371">
        <v>6</v>
      </c>
      <c r="J371">
        <f t="shared" si="11"/>
        <v>20000000367</v>
      </c>
      <c r="K371">
        <v>368</v>
      </c>
    </row>
    <row r="372" spans="1:11" x14ac:dyDescent="0.25">
      <c r="A372" s="8" t="s">
        <v>54</v>
      </c>
      <c r="B372" s="8" t="s">
        <v>1112</v>
      </c>
      <c r="C372" s="8" t="s">
        <v>54</v>
      </c>
      <c r="D372" s="8" t="s">
        <v>1823</v>
      </c>
      <c r="E372">
        <f t="shared" si="10"/>
        <v>6000000369</v>
      </c>
      <c r="F372">
        <v>6</v>
      </c>
      <c r="J372">
        <f t="shared" si="11"/>
        <v>20000000368</v>
      </c>
      <c r="K372">
        <v>369</v>
      </c>
    </row>
    <row r="373" spans="1:11" x14ac:dyDescent="0.25">
      <c r="A373" s="8" t="s">
        <v>54</v>
      </c>
      <c r="B373" s="8" t="s">
        <v>1113</v>
      </c>
      <c r="C373" s="8" t="s">
        <v>54</v>
      </c>
      <c r="D373" s="8" t="s">
        <v>1824</v>
      </c>
      <c r="E373">
        <f t="shared" si="10"/>
        <v>6000000370</v>
      </c>
      <c r="F373">
        <v>6</v>
      </c>
      <c r="J373">
        <f t="shared" si="11"/>
        <v>20000000369</v>
      </c>
      <c r="K373">
        <v>370</v>
      </c>
    </row>
    <row r="374" spans="1:11" x14ac:dyDescent="0.25">
      <c r="A374" s="8" t="s">
        <v>54</v>
      </c>
      <c r="B374" s="8" t="s">
        <v>1114</v>
      </c>
      <c r="C374" s="8" t="s">
        <v>54</v>
      </c>
      <c r="D374" s="8" t="s">
        <v>1825</v>
      </c>
      <c r="E374">
        <f t="shared" si="10"/>
        <v>6000000371</v>
      </c>
      <c r="F374">
        <v>6</v>
      </c>
      <c r="J374">
        <f t="shared" si="11"/>
        <v>20000000370</v>
      </c>
      <c r="K374">
        <v>371</v>
      </c>
    </row>
    <row r="375" spans="1:11" x14ac:dyDescent="0.25">
      <c r="A375" s="8" t="s">
        <v>54</v>
      </c>
      <c r="B375" s="8" t="s">
        <v>1115</v>
      </c>
      <c r="C375" s="8" t="s">
        <v>54</v>
      </c>
      <c r="D375" s="8" t="s">
        <v>1826</v>
      </c>
      <c r="E375">
        <f t="shared" si="10"/>
        <v>6000000372</v>
      </c>
      <c r="F375">
        <v>6</v>
      </c>
      <c r="J375">
        <f t="shared" si="11"/>
        <v>20000000371</v>
      </c>
      <c r="K375">
        <v>372</v>
      </c>
    </row>
    <row r="376" spans="1:11" x14ac:dyDescent="0.25">
      <c r="A376" s="8" t="s">
        <v>54</v>
      </c>
      <c r="B376" s="8" t="s">
        <v>1116</v>
      </c>
      <c r="C376" s="8" t="s">
        <v>54</v>
      </c>
      <c r="D376" s="8" t="s">
        <v>1827</v>
      </c>
      <c r="E376">
        <f t="shared" si="10"/>
        <v>6000000373</v>
      </c>
      <c r="F376">
        <v>6</v>
      </c>
      <c r="J376">
        <f t="shared" si="11"/>
        <v>20000000372</v>
      </c>
      <c r="K376">
        <v>373</v>
      </c>
    </row>
    <row r="377" spans="1:11" x14ac:dyDescent="0.25">
      <c r="A377" s="8" t="s">
        <v>54</v>
      </c>
      <c r="B377" s="8" t="s">
        <v>206</v>
      </c>
      <c r="C377" s="8" t="s">
        <v>54</v>
      </c>
      <c r="D377" s="8" t="s">
        <v>1828</v>
      </c>
      <c r="E377">
        <f t="shared" si="10"/>
        <v>6000000374</v>
      </c>
      <c r="F377">
        <v>6</v>
      </c>
      <c r="J377">
        <f t="shared" si="11"/>
        <v>20000000373</v>
      </c>
      <c r="K377">
        <v>374</v>
      </c>
    </row>
    <row r="378" spans="1:11" x14ac:dyDescent="0.25">
      <c r="A378" s="8" t="s">
        <v>54</v>
      </c>
      <c r="B378" s="8" t="s">
        <v>1117</v>
      </c>
      <c r="C378" s="8" t="s">
        <v>54</v>
      </c>
      <c r="D378" s="8" t="s">
        <v>1829</v>
      </c>
      <c r="E378">
        <f t="shared" si="10"/>
        <v>6000000375</v>
      </c>
      <c r="F378">
        <v>6</v>
      </c>
      <c r="J378">
        <f t="shared" si="11"/>
        <v>20000000374</v>
      </c>
      <c r="K378">
        <v>375</v>
      </c>
    </row>
    <row r="379" spans="1:11" x14ac:dyDescent="0.25">
      <c r="A379" s="8" t="s">
        <v>54</v>
      </c>
      <c r="B379" s="8" t="s">
        <v>1118</v>
      </c>
      <c r="C379" s="8" t="s">
        <v>54</v>
      </c>
      <c r="D379" s="8" t="s">
        <v>1830</v>
      </c>
      <c r="E379">
        <f t="shared" si="10"/>
        <v>6000000376</v>
      </c>
      <c r="F379">
        <v>6</v>
      </c>
      <c r="J379">
        <f t="shared" si="11"/>
        <v>20000000375</v>
      </c>
      <c r="K379">
        <v>376</v>
      </c>
    </row>
    <row r="380" spans="1:11" x14ac:dyDescent="0.25">
      <c r="A380" s="8" t="s">
        <v>1016</v>
      </c>
      <c r="B380" s="8" t="s">
        <v>1438</v>
      </c>
      <c r="C380" s="8" t="s">
        <v>1016</v>
      </c>
      <c r="D380" s="8" t="s">
        <v>1831</v>
      </c>
      <c r="E380">
        <f t="shared" si="10"/>
        <v>2000000377</v>
      </c>
      <c r="F380">
        <v>2</v>
      </c>
      <c r="J380">
        <f t="shared" si="11"/>
        <v>20000000376</v>
      </c>
      <c r="K380">
        <v>377</v>
      </c>
    </row>
    <row r="381" spans="1:11" x14ac:dyDescent="0.25">
      <c r="A381" s="8" t="s">
        <v>1016</v>
      </c>
      <c r="B381" s="8" t="s">
        <v>1439</v>
      </c>
      <c r="C381" s="8" t="s">
        <v>1016</v>
      </c>
      <c r="D381" s="8" t="s">
        <v>1832</v>
      </c>
      <c r="E381">
        <f t="shared" si="10"/>
        <v>2000000378</v>
      </c>
      <c r="F381">
        <v>2</v>
      </c>
      <c r="J381">
        <f t="shared" si="11"/>
        <v>20000000377</v>
      </c>
      <c r="K381">
        <v>378</v>
      </c>
    </row>
    <row r="382" spans="1:11" x14ac:dyDescent="0.25">
      <c r="A382" s="8" t="s">
        <v>1016</v>
      </c>
      <c r="B382" s="8" t="s">
        <v>1119</v>
      </c>
      <c r="C382" s="8" t="s">
        <v>1016</v>
      </c>
      <c r="D382" s="8" t="s">
        <v>1833</v>
      </c>
      <c r="E382">
        <f t="shared" si="10"/>
        <v>2000000379</v>
      </c>
      <c r="F382">
        <v>2</v>
      </c>
      <c r="J382">
        <f t="shared" si="11"/>
        <v>20000000378</v>
      </c>
      <c r="K382">
        <v>379</v>
      </c>
    </row>
    <row r="383" spans="1:11" x14ac:dyDescent="0.25">
      <c r="A383" s="8" t="s">
        <v>1016</v>
      </c>
      <c r="B383" s="8" t="s">
        <v>1120</v>
      </c>
      <c r="C383" s="8" t="s">
        <v>1016</v>
      </c>
      <c r="D383" s="8" t="s">
        <v>1834</v>
      </c>
      <c r="E383">
        <f t="shared" si="10"/>
        <v>2000000380</v>
      </c>
      <c r="F383">
        <v>2</v>
      </c>
      <c r="J383">
        <f t="shared" si="11"/>
        <v>20000000379</v>
      </c>
      <c r="K383">
        <v>380</v>
      </c>
    </row>
    <row r="384" spans="1:11" x14ac:dyDescent="0.25">
      <c r="A384" s="8" t="s">
        <v>1017</v>
      </c>
      <c r="B384" s="8">
        <v>6260</v>
      </c>
      <c r="C384" s="8" t="s">
        <v>1017</v>
      </c>
      <c r="D384" s="8" t="s">
        <v>1835</v>
      </c>
      <c r="E384">
        <f t="shared" si="10"/>
        <v>1000000381</v>
      </c>
      <c r="F384">
        <v>1</v>
      </c>
      <c r="J384">
        <f t="shared" si="11"/>
        <v>20000000380</v>
      </c>
      <c r="K384">
        <v>381</v>
      </c>
    </row>
    <row r="385" spans="1:11" x14ac:dyDescent="0.25">
      <c r="A385" s="8" t="s">
        <v>1017</v>
      </c>
      <c r="B385" s="8" t="s">
        <v>1121</v>
      </c>
      <c r="C385" s="8" t="s">
        <v>1017</v>
      </c>
      <c r="D385" s="8" t="s">
        <v>1836</v>
      </c>
      <c r="E385">
        <f t="shared" si="10"/>
        <v>1000000382</v>
      </c>
      <c r="F385">
        <v>1</v>
      </c>
      <c r="J385">
        <f t="shared" si="11"/>
        <v>20000000381</v>
      </c>
      <c r="K385">
        <v>382</v>
      </c>
    </row>
    <row r="386" spans="1:11" x14ac:dyDescent="0.25">
      <c r="A386" s="8" t="s">
        <v>218</v>
      </c>
      <c r="B386" s="8" t="s">
        <v>958</v>
      </c>
      <c r="C386" s="8" t="s">
        <v>218</v>
      </c>
      <c r="D386" s="8" t="s">
        <v>1837</v>
      </c>
      <c r="E386">
        <f t="shared" si="10"/>
        <v>6000000383</v>
      </c>
      <c r="F386">
        <v>6</v>
      </c>
      <c r="J386">
        <f t="shared" si="11"/>
        <v>20000000382</v>
      </c>
      <c r="K386">
        <v>383</v>
      </c>
    </row>
    <row r="387" spans="1:11" x14ac:dyDescent="0.25">
      <c r="A387" s="8" t="s">
        <v>218</v>
      </c>
      <c r="B387" s="8" t="s">
        <v>748</v>
      </c>
      <c r="C387" s="8" t="s">
        <v>218</v>
      </c>
      <c r="D387" s="8" t="s">
        <v>1838</v>
      </c>
      <c r="E387">
        <f t="shared" ref="E387:E450" si="12">IF(F387="",J387,IF(G387="",F387*$F$2+K387,IF(H387="",F387*$F$2+G387*$G$2+K387,IF(I387="",F387*$F$2+G387*$G$2+H387*$H$2+K387,F387*$F$2+G387*$G$2+H387*$H$2+I387*$I$2+K387))))</f>
        <v>6000000384</v>
      </c>
      <c r="F387">
        <v>6</v>
      </c>
      <c r="J387">
        <f t="shared" si="11"/>
        <v>20000000383</v>
      </c>
      <c r="K387">
        <v>384</v>
      </c>
    </row>
    <row r="388" spans="1:11" x14ac:dyDescent="0.25">
      <c r="A388" s="8" t="s">
        <v>218</v>
      </c>
      <c r="B388" s="8" t="s">
        <v>219</v>
      </c>
      <c r="C388" s="8" t="s">
        <v>218</v>
      </c>
      <c r="D388" s="8" t="s">
        <v>1839</v>
      </c>
      <c r="E388">
        <f t="shared" si="12"/>
        <v>6000000385</v>
      </c>
      <c r="F388">
        <v>6</v>
      </c>
      <c r="J388">
        <f t="shared" si="11"/>
        <v>20000000384</v>
      </c>
      <c r="K388">
        <v>385</v>
      </c>
    </row>
    <row r="389" spans="1:11" x14ac:dyDescent="0.25">
      <c r="A389" s="8" t="s">
        <v>218</v>
      </c>
      <c r="B389" s="8" t="s">
        <v>220</v>
      </c>
      <c r="C389" s="8" t="s">
        <v>218</v>
      </c>
      <c r="D389" s="8" t="s">
        <v>1840</v>
      </c>
      <c r="E389">
        <f t="shared" si="12"/>
        <v>6000000386</v>
      </c>
      <c r="F389">
        <v>6</v>
      </c>
      <c r="J389">
        <f t="shared" si="11"/>
        <v>20000000385</v>
      </c>
      <c r="K389">
        <v>386</v>
      </c>
    </row>
    <row r="390" spans="1:11" x14ac:dyDescent="0.25">
      <c r="A390" s="8" t="s">
        <v>218</v>
      </c>
      <c r="B390" s="8" t="s">
        <v>221</v>
      </c>
      <c r="C390" s="8" t="s">
        <v>218</v>
      </c>
      <c r="D390" s="8" t="s">
        <v>1841</v>
      </c>
      <c r="E390">
        <f t="shared" si="12"/>
        <v>6000000387</v>
      </c>
      <c r="F390">
        <v>6</v>
      </c>
      <c r="J390">
        <f t="shared" si="11"/>
        <v>20000000386</v>
      </c>
      <c r="K390">
        <v>387</v>
      </c>
    </row>
    <row r="391" spans="1:11" x14ac:dyDescent="0.25">
      <c r="A391" s="8" t="s">
        <v>218</v>
      </c>
      <c r="B391" s="8" t="s">
        <v>222</v>
      </c>
      <c r="C391" s="8" t="s">
        <v>218</v>
      </c>
      <c r="D391" s="8" t="s">
        <v>1842</v>
      </c>
      <c r="E391">
        <f t="shared" si="12"/>
        <v>6000000388</v>
      </c>
      <c r="F391">
        <v>6</v>
      </c>
      <c r="J391">
        <f t="shared" ref="J391:J454" si="13">J390+1</f>
        <v>20000000387</v>
      </c>
      <c r="K391">
        <v>388</v>
      </c>
    </row>
    <row r="392" spans="1:11" x14ac:dyDescent="0.25">
      <c r="A392" s="8" t="s">
        <v>218</v>
      </c>
      <c r="B392" s="8" t="s">
        <v>223</v>
      </c>
      <c r="C392" s="8" t="s">
        <v>218</v>
      </c>
      <c r="D392" s="8" t="s">
        <v>1843</v>
      </c>
      <c r="E392">
        <f t="shared" si="12"/>
        <v>6000000389</v>
      </c>
      <c r="F392">
        <v>6</v>
      </c>
      <c r="J392">
        <f t="shared" si="13"/>
        <v>20000000388</v>
      </c>
      <c r="K392">
        <v>389</v>
      </c>
    </row>
    <row r="393" spans="1:11" x14ac:dyDescent="0.25">
      <c r="A393" s="8" t="s">
        <v>218</v>
      </c>
      <c r="B393" s="8" t="s">
        <v>224</v>
      </c>
      <c r="C393" s="8" t="s">
        <v>218</v>
      </c>
      <c r="D393" s="8" t="s">
        <v>1844</v>
      </c>
      <c r="E393">
        <f t="shared" si="12"/>
        <v>6000000390</v>
      </c>
      <c r="F393">
        <v>6</v>
      </c>
      <c r="J393">
        <f t="shared" si="13"/>
        <v>20000000389</v>
      </c>
      <c r="K393">
        <v>390</v>
      </c>
    </row>
    <row r="394" spans="1:11" x14ac:dyDescent="0.25">
      <c r="A394" s="8" t="s">
        <v>869</v>
      </c>
      <c r="B394" s="8" t="s">
        <v>1122</v>
      </c>
      <c r="C394" s="8" t="s">
        <v>869</v>
      </c>
      <c r="D394" s="8" t="s">
        <v>1845</v>
      </c>
      <c r="E394">
        <f t="shared" si="12"/>
        <v>2000000391</v>
      </c>
      <c r="F394">
        <v>2</v>
      </c>
      <c r="J394">
        <f t="shared" si="13"/>
        <v>20000000390</v>
      </c>
      <c r="K394">
        <v>391</v>
      </c>
    </row>
    <row r="395" spans="1:11" x14ac:dyDescent="0.25">
      <c r="A395" s="8" t="s">
        <v>869</v>
      </c>
      <c r="B395" s="8">
        <v>10000007852</v>
      </c>
      <c r="C395" s="8" t="s">
        <v>869</v>
      </c>
      <c r="D395" s="8" t="s">
        <v>1846</v>
      </c>
      <c r="E395">
        <f t="shared" si="12"/>
        <v>2000000392</v>
      </c>
      <c r="F395">
        <v>2</v>
      </c>
      <c r="J395">
        <f t="shared" si="13"/>
        <v>20000000391</v>
      </c>
      <c r="K395">
        <v>392</v>
      </c>
    </row>
    <row r="396" spans="1:11" x14ac:dyDescent="0.25">
      <c r="A396" s="8" t="s">
        <v>869</v>
      </c>
      <c r="B396" s="8">
        <v>7006</v>
      </c>
      <c r="C396" s="8" t="s">
        <v>869</v>
      </c>
      <c r="D396" s="8" t="s">
        <v>1847</v>
      </c>
      <c r="E396">
        <f t="shared" si="12"/>
        <v>2000000393</v>
      </c>
      <c r="F396">
        <v>2</v>
      </c>
      <c r="J396">
        <f t="shared" si="13"/>
        <v>20000000392</v>
      </c>
      <c r="K396">
        <v>393</v>
      </c>
    </row>
    <row r="397" spans="1:11" x14ac:dyDescent="0.25">
      <c r="A397" s="8" t="s">
        <v>869</v>
      </c>
      <c r="B397" s="8">
        <v>7043</v>
      </c>
      <c r="C397" s="8" t="s">
        <v>869</v>
      </c>
      <c r="D397" s="8" t="s">
        <v>1848</v>
      </c>
      <c r="E397">
        <f t="shared" si="12"/>
        <v>2000000394</v>
      </c>
      <c r="F397">
        <v>2</v>
      </c>
      <c r="J397">
        <f t="shared" si="13"/>
        <v>20000000393</v>
      </c>
      <c r="K397">
        <v>394</v>
      </c>
    </row>
    <row r="398" spans="1:11" x14ac:dyDescent="0.25">
      <c r="A398" s="8" t="s">
        <v>869</v>
      </c>
      <c r="B398" s="8">
        <v>8009</v>
      </c>
      <c r="C398" s="8" t="s">
        <v>869</v>
      </c>
      <c r="D398" s="8" t="s">
        <v>1849</v>
      </c>
      <c r="E398">
        <f t="shared" si="12"/>
        <v>2000000395</v>
      </c>
      <c r="F398">
        <v>2</v>
      </c>
      <c r="J398">
        <f t="shared" si="13"/>
        <v>20000000394</v>
      </c>
      <c r="K398">
        <v>395</v>
      </c>
    </row>
    <row r="399" spans="1:11" x14ac:dyDescent="0.25">
      <c r="A399" s="8" t="s">
        <v>869</v>
      </c>
      <c r="B399" s="8" t="s">
        <v>225</v>
      </c>
      <c r="C399" s="8" t="s">
        <v>869</v>
      </c>
      <c r="D399" s="8" t="s">
        <v>1850</v>
      </c>
      <c r="E399">
        <f t="shared" si="12"/>
        <v>2000000396</v>
      </c>
      <c r="F399">
        <v>2</v>
      </c>
      <c r="J399">
        <f t="shared" si="13"/>
        <v>20000000395</v>
      </c>
      <c r="K399">
        <v>396</v>
      </c>
    </row>
    <row r="400" spans="1:11" x14ac:dyDescent="0.25">
      <c r="A400" s="8" t="s">
        <v>869</v>
      </c>
      <c r="B400" s="8" t="s">
        <v>226</v>
      </c>
      <c r="C400" s="8" t="s">
        <v>869</v>
      </c>
      <c r="D400" s="8" t="s">
        <v>1851</v>
      </c>
      <c r="E400">
        <f t="shared" si="12"/>
        <v>2000000397</v>
      </c>
      <c r="F400">
        <v>2</v>
      </c>
      <c r="J400">
        <f t="shared" si="13"/>
        <v>20000000396</v>
      </c>
      <c r="K400">
        <v>397</v>
      </c>
    </row>
    <row r="401" spans="1:11" x14ac:dyDescent="0.25">
      <c r="A401" s="8" t="s">
        <v>869</v>
      </c>
      <c r="B401" s="8" t="s">
        <v>227</v>
      </c>
      <c r="C401" s="8" t="s">
        <v>869</v>
      </c>
      <c r="D401" s="8" t="s">
        <v>1852</v>
      </c>
      <c r="E401">
        <f t="shared" si="12"/>
        <v>2000000398</v>
      </c>
      <c r="F401">
        <v>2</v>
      </c>
      <c r="J401">
        <f t="shared" si="13"/>
        <v>20000000397</v>
      </c>
      <c r="K401">
        <v>398</v>
      </c>
    </row>
    <row r="402" spans="1:11" x14ac:dyDescent="0.25">
      <c r="A402" s="8" t="s">
        <v>869</v>
      </c>
      <c r="B402" s="8" t="s">
        <v>228</v>
      </c>
      <c r="C402" s="8" t="s">
        <v>869</v>
      </c>
      <c r="D402" s="8" t="s">
        <v>1853</v>
      </c>
      <c r="E402">
        <f t="shared" si="12"/>
        <v>2000000399</v>
      </c>
      <c r="F402">
        <v>2</v>
      </c>
      <c r="J402">
        <f t="shared" si="13"/>
        <v>20000000398</v>
      </c>
      <c r="K402">
        <v>399</v>
      </c>
    </row>
    <row r="403" spans="1:11" x14ac:dyDescent="0.25">
      <c r="A403" s="8" t="s">
        <v>869</v>
      </c>
      <c r="B403" s="8" t="s">
        <v>670</v>
      </c>
      <c r="C403" s="8" t="s">
        <v>869</v>
      </c>
      <c r="D403" s="8" t="s">
        <v>1854</v>
      </c>
      <c r="E403">
        <f t="shared" si="12"/>
        <v>2000000400</v>
      </c>
      <c r="F403">
        <v>2</v>
      </c>
      <c r="J403">
        <f t="shared" si="13"/>
        <v>20000000399</v>
      </c>
      <c r="K403">
        <v>400</v>
      </c>
    </row>
    <row r="404" spans="1:11" x14ac:dyDescent="0.25">
      <c r="A404" s="8" t="s">
        <v>869</v>
      </c>
      <c r="B404" s="8" t="s">
        <v>1123</v>
      </c>
      <c r="C404" s="8" t="s">
        <v>869</v>
      </c>
      <c r="D404" s="8" t="s">
        <v>1855</v>
      </c>
      <c r="E404">
        <f t="shared" si="12"/>
        <v>2000000401</v>
      </c>
      <c r="F404">
        <v>2</v>
      </c>
      <c r="J404">
        <f t="shared" si="13"/>
        <v>20000000400</v>
      </c>
      <c r="K404">
        <v>401</v>
      </c>
    </row>
    <row r="405" spans="1:11" x14ac:dyDescent="0.25">
      <c r="A405" s="8" t="s">
        <v>869</v>
      </c>
      <c r="B405" s="8" t="s">
        <v>940</v>
      </c>
      <c r="C405" s="8" t="s">
        <v>869</v>
      </c>
      <c r="D405" s="8" t="s">
        <v>1856</v>
      </c>
      <c r="E405">
        <f t="shared" si="12"/>
        <v>2000000402</v>
      </c>
      <c r="F405">
        <v>2</v>
      </c>
      <c r="J405">
        <f t="shared" si="13"/>
        <v>20000000401</v>
      </c>
      <c r="K405">
        <v>402</v>
      </c>
    </row>
    <row r="406" spans="1:11" ht="12.75" customHeight="1" x14ac:dyDescent="0.25">
      <c r="A406" s="8" t="s">
        <v>869</v>
      </c>
      <c r="B406" s="8" t="s">
        <v>941</v>
      </c>
      <c r="C406" s="8" t="s">
        <v>869</v>
      </c>
      <c r="D406" s="8" t="s">
        <v>1857</v>
      </c>
      <c r="E406">
        <f t="shared" si="12"/>
        <v>2000000403</v>
      </c>
      <c r="F406">
        <v>2</v>
      </c>
      <c r="J406">
        <f t="shared" si="13"/>
        <v>20000000402</v>
      </c>
      <c r="K406">
        <v>403</v>
      </c>
    </row>
    <row r="407" spans="1:11" x14ac:dyDescent="0.25">
      <c r="A407" s="8" t="s">
        <v>869</v>
      </c>
      <c r="B407" s="8" t="s">
        <v>942</v>
      </c>
      <c r="C407" s="8" t="s">
        <v>869</v>
      </c>
      <c r="D407" s="8" t="s">
        <v>1858</v>
      </c>
      <c r="E407">
        <f t="shared" si="12"/>
        <v>2000000404</v>
      </c>
      <c r="F407">
        <v>2</v>
      </c>
      <c r="J407">
        <f t="shared" si="13"/>
        <v>20000000403</v>
      </c>
      <c r="K407">
        <v>404</v>
      </c>
    </row>
    <row r="408" spans="1:11" x14ac:dyDescent="0.25">
      <c r="A408" s="8" t="s">
        <v>869</v>
      </c>
      <c r="B408" s="8" t="s">
        <v>943</v>
      </c>
      <c r="C408" s="8" t="s">
        <v>869</v>
      </c>
      <c r="D408" s="8" t="s">
        <v>1859</v>
      </c>
      <c r="E408">
        <f t="shared" si="12"/>
        <v>2000000405</v>
      </c>
      <c r="F408">
        <v>2</v>
      </c>
      <c r="J408">
        <f t="shared" si="13"/>
        <v>20000000404</v>
      </c>
      <c r="K408">
        <v>405</v>
      </c>
    </row>
    <row r="409" spans="1:11" x14ac:dyDescent="0.25">
      <c r="A409" s="8" t="s">
        <v>869</v>
      </c>
      <c r="B409" s="8" t="s">
        <v>1124</v>
      </c>
      <c r="C409" s="8" t="s">
        <v>869</v>
      </c>
      <c r="D409" s="8" t="s">
        <v>1860</v>
      </c>
      <c r="E409">
        <f t="shared" si="12"/>
        <v>2000000406</v>
      </c>
      <c r="F409">
        <v>2</v>
      </c>
      <c r="J409">
        <f t="shared" si="13"/>
        <v>20000000405</v>
      </c>
      <c r="K409">
        <v>406</v>
      </c>
    </row>
    <row r="410" spans="1:11" x14ac:dyDescent="0.25">
      <c r="A410" s="8" t="s">
        <v>869</v>
      </c>
      <c r="B410" s="8" t="s">
        <v>1125</v>
      </c>
      <c r="C410" s="8" t="s">
        <v>869</v>
      </c>
      <c r="D410" s="8" t="s">
        <v>1861</v>
      </c>
      <c r="E410">
        <f t="shared" si="12"/>
        <v>2000000407</v>
      </c>
      <c r="F410">
        <v>2</v>
      </c>
      <c r="J410">
        <f t="shared" si="13"/>
        <v>20000000406</v>
      </c>
      <c r="K410">
        <v>407</v>
      </c>
    </row>
    <row r="411" spans="1:11" x14ac:dyDescent="0.25">
      <c r="A411" s="8" t="s">
        <v>869</v>
      </c>
      <c r="B411" s="8" t="s">
        <v>944</v>
      </c>
      <c r="C411" s="8" t="s">
        <v>869</v>
      </c>
      <c r="D411" s="8" t="s">
        <v>1862</v>
      </c>
      <c r="E411">
        <f t="shared" si="12"/>
        <v>2000000408</v>
      </c>
      <c r="F411">
        <v>2</v>
      </c>
      <c r="J411">
        <f t="shared" si="13"/>
        <v>20000000407</v>
      </c>
      <c r="K411">
        <v>408</v>
      </c>
    </row>
    <row r="412" spans="1:11" x14ac:dyDescent="0.25">
      <c r="A412" s="8" t="s">
        <v>869</v>
      </c>
      <c r="B412" s="8" t="s">
        <v>945</v>
      </c>
      <c r="C412" s="8" t="s">
        <v>869</v>
      </c>
      <c r="D412" s="8" t="s">
        <v>1863</v>
      </c>
      <c r="E412">
        <f t="shared" si="12"/>
        <v>2000000409</v>
      </c>
      <c r="F412">
        <v>2</v>
      </c>
      <c r="J412">
        <f t="shared" si="13"/>
        <v>20000000408</v>
      </c>
      <c r="K412">
        <v>409</v>
      </c>
    </row>
    <row r="413" spans="1:11" x14ac:dyDescent="0.25">
      <c r="A413" s="8" t="s">
        <v>869</v>
      </c>
      <c r="B413" s="8" t="s">
        <v>229</v>
      </c>
      <c r="C413" s="8" t="s">
        <v>869</v>
      </c>
      <c r="D413" s="8" t="s">
        <v>1864</v>
      </c>
      <c r="E413">
        <f t="shared" si="12"/>
        <v>2000000410</v>
      </c>
      <c r="F413">
        <v>2</v>
      </c>
      <c r="J413">
        <f t="shared" si="13"/>
        <v>20000000409</v>
      </c>
      <c r="K413">
        <v>410</v>
      </c>
    </row>
    <row r="414" spans="1:11" x14ac:dyDescent="0.25">
      <c r="A414" s="8" t="s">
        <v>869</v>
      </c>
      <c r="B414" s="8" t="s">
        <v>959</v>
      </c>
      <c r="C414" s="8" t="s">
        <v>869</v>
      </c>
      <c r="D414" s="8" t="s">
        <v>1865</v>
      </c>
      <c r="E414">
        <f t="shared" si="12"/>
        <v>2000000411</v>
      </c>
      <c r="F414">
        <v>2</v>
      </c>
      <c r="J414">
        <f t="shared" si="13"/>
        <v>20000000410</v>
      </c>
      <c r="K414">
        <v>411</v>
      </c>
    </row>
    <row r="415" spans="1:11" x14ac:dyDescent="0.25">
      <c r="A415" s="8" t="s">
        <v>869</v>
      </c>
      <c r="B415" s="8" t="s">
        <v>230</v>
      </c>
      <c r="C415" s="8" t="s">
        <v>869</v>
      </c>
      <c r="D415" s="8" t="s">
        <v>1866</v>
      </c>
      <c r="E415">
        <f t="shared" si="12"/>
        <v>2000000412</v>
      </c>
      <c r="F415">
        <v>2</v>
      </c>
      <c r="J415">
        <f t="shared" si="13"/>
        <v>20000000411</v>
      </c>
      <c r="K415">
        <v>412</v>
      </c>
    </row>
    <row r="416" spans="1:11" x14ac:dyDescent="0.25">
      <c r="A416" s="8" t="s">
        <v>869</v>
      </c>
      <c r="B416" s="8" t="s">
        <v>1126</v>
      </c>
      <c r="C416" s="8" t="s">
        <v>869</v>
      </c>
      <c r="D416" s="8" t="s">
        <v>1867</v>
      </c>
      <c r="E416">
        <f t="shared" si="12"/>
        <v>2000000413</v>
      </c>
      <c r="F416">
        <v>2</v>
      </c>
      <c r="J416">
        <f t="shared" si="13"/>
        <v>20000000412</v>
      </c>
      <c r="K416">
        <v>413</v>
      </c>
    </row>
    <row r="417" spans="1:11" x14ac:dyDescent="0.25">
      <c r="A417" s="8" t="s">
        <v>869</v>
      </c>
      <c r="B417" s="8" t="s">
        <v>231</v>
      </c>
      <c r="C417" s="8" t="s">
        <v>869</v>
      </c>
      <c r="D417" s="8" t="s">
        <v>1868</v>
      </c>
      <c r="E417">
        <f t="shared" si="12"/>
        <v>2000000414</v>
      </c>
      <c r="F417">
        <v>2</v>
      </c>
      <c r="J417">
        <f t="shared" si="13"/>
        <v>20000000413</v>
      </c>
      <c r="K417">
        <v>414</v>
      </c>
    </row>
    <row r="418" spans="1:11" x14ac:dyDescent="0.25">
      <c r="A418" s="8" t="s">
        <v>869</v>
      </c>
      <c r="B418" s="8" t="s">
        <v>749</v>
      </c>
      <c r="C418" s="8" t="s">
        <v>869</v>
      </c>
      <c r="D418" s="8" t="s">
        <v>1869</v>
      </c>
      <c r="E418">
        <f t="shared" si="12"/>
        <v>2000000415</v>
      </c>
      <c r="F418">
        <v>2</v>
      </c>
      <c r="J418">
        <f t="shared" si="13"/>
        <v>20000000414</v>
      </c>
      <c r="K418">
        <v>415</v>
      </c>
    </row>
    <row r="419" spans="1:11" x14ac:dyDescent="0.25">
      <c r="A419" s="8" t="s">
        <v>232</v>
      </c>
      <c r="B419" s="8" t="s">
        <v>671</v>
      </c>
      <c r="C419" s="8" t="s">
        <v>232</v>
      </c>
      <c r="D419" s="8" t="s">
        <v>1870</v>
      </c>
      <c r="E419">
        <f t="shared" si="12"/>
        <v>6000000416</v>
      </c>
      <c r="F419">
        <v>6</v>
      </c>
      <c r="J419">
        <f t="shared" si="13"/>
        <v>20000000415</v>
      </c>
      <c r="K419">
        <v>416</v>
      </c>
    </row>
    <row r="420" spans="1:11" x14ac:dyDescent="0.25">
      <c r="A420" s="8" t="s">
        <v>232</v>
      </c>
      <c r="B420" s="8" t="s">
        <v>672</v>
      </c>
      <c r="C420" s="8" t="s">
        <v>232</v>
      </c>
      <c r="D420" s="8" t="s">
        <v>1871</v>
      </c>
      <c r="E420">
        <f t="shared" si="12"/>
        <v>6000000417</v>
      </c>
      <c r="F420">
        <v>6</v>
      </c>
      <c r="J420">
        <f t="shared" si="13"/>
        <v>20000000416</v>
      </c>
      <c r="K420">
        <v>417</v>
      </c>
    </row>
    <row r="421" spans="1:11" x14ac:dyDescent="0.25">
      <c r="A421" s="8" t="s">
        <v>232</v>
      </c>
      <c r="B421" s="8" t="s">
        <v>233</v>
      </c>
      <c r="C421" s="8" t="s">
        <v>232</v>
      </c>
      <c r="D421" s="8" t="s">
        <v>1872</v>
      </c>
      <c r="E421">
        <f t="shared" si="12"/>
        <v>6000000418</v>
      </c>
      <c r="F421">
        <v>6</v>
      </c>
      <c r="J421">
        <f t="shared" si="13"/>
        <v>20000000417</v>
      </c>
      <c r="K421">
        <v>418</v>
      </c>
    </row>
    <row r="422" spans="1:11" x14ac:dyDescent="0.25">
      <c r="A422" s="8" t="s">
        <v>232</v>
      </c>
      <c r="B422" s="8" t="s">
        <v>673</v>
      </c>
      <c r="C422" s="8" t="s">
        <v>232</v>
      </c>
      <c r="D422" s="8" t="s">
        <v>1873</v>
      </c>
      <c r="E422">
        <f t="shared" si="12"/>
        <v>6000000419</v>
      </c>
      <c r="F422">
        <v>6</v>
      </c>
      <c r="J422">
        <f t="shared" si="13"/>
        <v>20000000418</v>
      </c>
      <c r="K422">
        <v>419</v>
      </c>
    </row>
    <row r="423" spans="1:11" x14ac:dyDescent="0.25">
      <c r="A423" s="8" t="s">
        <v>234</v>
      </c>
      <c r="B423" s="8" t="s">
        <v>235</v>
      </c>
      <c r="C423" s="8" t="s">
        <v>234</v>
      </c>
      <c r="D423" s="8" t="s">
        <v>1874</v>
      </c>
      <c r="E423">
        <f t="shared" si="12"/>
        <v>1000000420</v>
      </c>
      <c r="F423">
        <v>1</v>
      </c>
      <c r="J423">
        <f t="shared" si="13"/>
        <v>20000000419</v>
      </c>
      <c r="K423">
        <v>420</v>
      </c>
    </row>
    <row r="424" spans="1:11" x14ac:dyDescent="0.25">
      <c r="A424" s="8" t="s">
        <v>234</v>
      </c>
      <c r="B424" s="8" t="s">
        <v>236</v>
      </c>
      <c r="C424" s="8" t="s">
        <v>234</v>
      </c>
      <c r="D424" s="8" t="s">
        <v>1875</v>
      </c>
      <c r="E424">
        <f t="shared" si="12"/>
        <v>1000000421</v>
      </c>
      <c r="F424">
        <v>1</v>
      </c>
      <c r="J424">
        <f t="shared" si="13"/>
        <v>20000000420</v>
      </c>
      <c r="K424">
        <v>421</v>
      </c>
    </row>
    <row r="425" spans="1:11" x14ac:dyDescent="0.25">
      <c r="A425" s="8" t="s">
        <v>234</v>
      </c>
      <c r="B425" s="8" t="s">
        <v>237</v>
      </c>
      <c r="C425" s="8" t="s">
        <v>234</v>
      </c>
      <c r="D425" s="8" t="s">
        <v>1876</v>
      </c>
      <c r="E425">
        <f t="shared" si="12"/>
        <v>1000000422</v>
      </c>
      <c r="F425">
        <v>1</v>
      </c>
      <c r="J425">
        <f t="shared" si="13"/>
        <v>20000000421</v>
      </c>
      <c r="K425">
        <v>422</v>
      </c>
    </row>
    <row r="426" spans="1:11" x14ac:dyDescent="0.25">
      <c r="A426" s="8" t="s">
        <v>39</v>
      </c>
      <c r="B426" s="8" t="s">
        <v>239</v>
      </c>
      <c r="C426" s="8" t="s">
        <v>39</v>
      </c>
      <c r="D426" s="8" t="s">
        <v>1877</v>
      </c>
      <c r="E426">
        <f t="shared" si="12"/>
        <v>6000000423</v>
      </c>
      <c r="F426">
        <v>6</v>
      </c>
      <c r="J426">
        <f t="shared" si="13"/>
        <v>20000000422</v>
      </c>
      <c r="K426">
        <v>423</v>
      </c>
    </row>
    <row r="427" spans="1:11" x14ac:dyDescent="0.25">
      <c r="A427" s="8" t="s">
        <v>39</v>
      </c>
      <c r="B427" s="8" t="s">
        <v>240</v>
      </c>
      <c r="C427" s="8" t="s">
        <v>39</v>
      </c>
      <c r="D427" s="8" t="s">
        <v>1878</v>
      </c>
      <c r="E427">
        <f t="shared" si="12"/>
        <v>6000000424</v>
      </c>
      <c r="F427">
        <v>6</v>
      </c>
      <c r="J427">
        <f t="shared" si="13"/>
        <v>20000000423</v>
      </c>
      <c r="K427">
        <v>424</v>
      </c>
    </row>
    <row r="428" spans="1:11" x14ac:dyDescent="0.25">
      <c r="A428" s="8" t="s">
        <v>39</v>
      </c>
      <c r="B428" s="8" t="s">
        <v>241</v>
      </c>
      <c r="C428" s="8" t="s">
        <v>39</v>
      </c>
      <c r="D428" s="8" t="s">
        <v>1879</v>
      </c>
      <c r="E428">
        <f t="shared" si="12"/>
        <v>6000000425</v>
      </c>
      <c r="F428">
        <v>6</v>
      </c>
      <c r="J428">
        <f t="shared" si="13"/>
        <v>20000000424</v>
      </c>
      <c r="K428">
        <v>425</v>
      </c>
    </row>
    <row r="429" spans="1:11" x14ac:dyDescent="0.25">
      <c r="A429" s="8" t="s">
        <v>39</v>
      </c>
      <c r="B429" s="8" t="s">
        <v>242</v>
      </c>
      <c r="C429" s="8" t="s">
        <v>39</v>
      </c>
      <c r="D429" s="8" t="s">
        <v>1880</v>
      </c>
      <c r="E429">
        <f t="shared" si="12"/>
        <v>6000000426</v>
      </c>
      <c r="F429">
        <v>6</v>
      </c>
      <c r="J429">
        <f t="shared" si="13"/>
        <v>20000000425</v>
      </c>
      <c r="K429">
        <v>426</v>
      </c>
    </row>
    <row r="430" spans="1:11" x14ac:dyDescent="0.25">
      <c r="A430" s="8" t="s">
        <v>39</v>
      </c>
      <c r="B430" s="8" t="s">
        <v>243</v>
      </c>
      <c r="C430" s="8" t="s">
        <v>39</v>
      </c>
      <c r="D430" s="8" t="s">
        <v>1881</v>
      </c>
      <c r="E430">
        <f t="shared" si="12"/>
        <v>6000000427</v>
      </c>
      <c r="F430">
        <v>6</v>
      </c>
      <c r="J430">
        <f t="shared" si="13"/>
        <v>20000000426</v>
      </c>
      <c r="K430">
        <v>427</v>
      </c>
    </row>
    <row r="431" spans="1:11" x14ac:dyDescent="0.25">
      <c r="A431" s="8" t="s">
        <v>39</v>
      </c>
      <c r="B431" s="8" t="s">
        <v>244</v>
      </c>
      <c r="C431" s="8" t="s">
        <v>39</v>
      </c>
      <c r="D431" s="8" t="s">
        <v>1882</v>
      </c>
      <c r="E431">
        <f t="shared" si="12"/>
        <v>6000000428</v>
      </c>
      <c r="F431">
        <v>6</v>
      </c>
      <c r="J431">
        <f t="shared" si="13"/>
        <v>20000000427</v>
      </c>
      <c r="K431">
        <v>428</v>
      </c>
    </row>
    <row r="432" spans="1:11" x14ac:dyDescent="0.25">
      <c r="A432" s="8" t="s">
        <v>39</v>
      </c>
      <c r="B432" s="8" t="s">
        <v>40</v>
      </c>
      <c r="C432" s="8" t="s">
        <v>39</v>
      </c>
      <c r="D432" s="8" t="s">
        <v>1883</v>
      </c>
      <c r="E432">
        <f t="shared" si="12"/>
        <v>6000000429</v>
      </c>
      <c r="F432">
        <v>6</v>
      </c>
      <c r="J432">
        <f t="shared" si="13"/>
        <v>20000000428</v>
      </c>
      <c r="K432">
        <v>429</v>
      </c>
    </row>
    <row r="433" spans="1:11" x14ac:dyDescent="0.25">
      <c r="A433" s="8" t="s">
        <v>39</v>
      </c>
      <c r="B433" s="8" t="s">
        <v>1127</v>
      </c>
      <c r="C433" s="8" t="s">
        <v>39</v>
      </c>
      <c r="D433" s="8" t="s">
        <v>1884</v>
      </c>
      <c r="E433">
        <f t="shared" si="12"/>
        <v>6000000430</v>
      </c>
      <c r="F433">
        <v>6</v>
      </c>
      <c r="J433">
        <f t="shared" si="13"/>
        <v>20000000429</v>
      </c>
      <c r="K433">
        <v>430</v>
      </c>
    </row>
    <row r="434" spans="1:11" x14ac:dyDescent="0.25">
      <c r="A434" s="8" t="s">
        <v>39</v>
      </c>
      <c r="B434" s="8" t="s">
        <v>245</v>
      </c>
      <c r="C434" s="8" t="s">
        <v>39</v>
      </c>
      <c r="D434" s="8" t="s">
        <v>1885</v>
      </c>
      <c r="E434">
        <f t="shared" si="12"/>
        <v>6000000431</v>
      </c>
      <c r="F434">
        <v>6</v>
      </c>
      <c r="J434">
        <f t="shared" si="13"/>
        <v>20000000430</v>
      </c>
      <c r="K434">
        <v>431</v>
      </c>
    </row>
    <row r="435" spans="1:11" x14ac:dyDescent="0.25">
      <c r="A435" s="8" t="s">
        <v>39</v>
      </c>
      <c r="B435" s="8" t="s">
        <v>246</v>
      </c>
      <c r="C435" s="8" t="s">
        <v>39</v>
      </c>
      <c r="D435" s="8" t="s">
        <v>1886</v>
      </c>
      <c r="E435">
        <f t="shared" si="12"/>
        <v>6000000432</v>
      </c>
      <c r="F435">
        <v>6</v>
      </c>
      <c r="J435">
        <f t="shared" si="13"/>
        <v>20000000431</v>
      </c>
      <c r="K435">
        <v>432</v>
      </c>
    </row>
    <row r="436" spans="1:11" x14ac:dyDescent="0.25">
      <c r="A436" s="8" t="s">
        <v>39</v>
      </c>
      <c r="B436" s="8" t="s">
        <v>1128</v>
      </c>
      <c r="C436" s="8" t="s">
        <v>39</v>
      </c>
      <c r="D436" s="8" t="s">
        <v>1887</v>
      </c>
      <c r="E436">
        <f t="shared" si="12"/>
        <v>6000000433</v>
      </c>
      <c r="F436">
        <v>6</v>
      </c>
      <c r="J436">
        <f t="shared" si="13"/>
        <v>20000000432</v>
      </c>
      <c r="K436">
        <v>433</v>
      </c>
    </row>
    <row r="437" spans="1:11" x14ac:dyDescent="0.25">
      <c r="A437" s="8" t="s">
        <v>248</v>
      </c>
      <c r="B437" s="8" t="s">
        <v>1129</v>
      </c>
      <c r="C437" s="8" t="s">
        <v>248</v>
      </c>
      <c r="D437" s="8" t="s">
        <v>1888</v>
      </c>
      <c r="E437">
        <f t="shared" si="12"/>
        <v>2000000434</v>
      </c>
      <c r="F437">
        <v>2</v>
      </c>
      <c r="J437">
        <f t="shared" si="13"/>
        <v>20000000433</v>
      </c>
      <c r="K437">
        <v>434</v>
      </c>
    </row>
    <row r="438" spans="1:11" x14ac:dyDescent="0.25">
      <c r="A438" s="8" t="s">
        <v>248</v>
      </c>
      <c r="B438" s="8" t="s">
        <v>1130</v>
      </c>
      <c r="C438" s="8" t="s">
        <v>248</v>
      </c>
      <c r="D438" s="8" t="s">
        <v>1889</v>
      </c>
      <c r="E438">
        <f t="shared" si="12"/>
        <v>2000000435</v>
      </c>
      <c r="F438">
        <v>2</v>
      </c>
      <c r="J438">
        <f t="shared" si="13"/>
        <v>20000000434</v>
      </c>
      <c r="K438">
        <v>435</v>
      </c>
    </row>
    <row r="439" spans="1:11" x14ac:dyDescent="0.25">
      <c r="A439" s="8" t="s">
        <v>248</v>
      </c>
      <c r="B439" s="8" t="s">
        <v>1131</v>
      </c>
      <c r="C439" s="8" t="s">
        <v>248</v>
      </c>
      <c r="D439" s="8" t="s">
        <v>1890</v>
      </c>
      <c r="E439">
        <f t="shared" si="12"/>
        <v>2000000436</v>
      </c>
      <c r="F439">
        <v>2</v>
      </c>
      <c r="J439">
        <f t="shared" si="13"/>
        <v>20000000435</v>
      </c>
      <c r="K439">
        <v>436</v>
      </c>
    </row>
    <row r="440" spans="1:11" x14ac:dyDescent="0.25">
      <c r="A440" s="8" t="s">
        <v>249</v>
      </c>
      <c r="B440" s="8">
        <v>2007</v>
      </c>
      <c r="C440" s="8" t="s">
        <v>249</v>
      </c>
      <c r="D440" s="8" t="s">
        <v>1891</v>
      </c>
      <c r="E440">
        <f t="shared" si="12"/>
        <v>6000000437</v>
      </c>
      <c r="F440">
        <v>6</v>
      </c>
      <c r="J440">
        <f t="shared" si="13"/>
        <v>20000000436</v>
      </c>
      <c r="K440">
        <v>437</v>
      </c>
    </row>
    <row r="441" spans="1:11" x14ac:dyDescent="0.25">
      <c r="A441" s="8" t="s">
        <v>249</v>
      </c>
      <c r="B441" s="8">
        <v>2014</v>
      </c>
      <c r="C441" s="8" t="s">
        <v>249</v>
      </c>
      <c r="D441" s="8" t="s">
        <v>1892</v>
      </c>
      <c r="E441">
        <f t="shared" si="12"/>
        <v>6000000438</v>
      </c>
      <c r="F441">
        <v>6</v>
      </c>
      <c r="J441">
        <f t="shared" si="13"/>
        <v>20000000437</v>
      </c>
      <c r="K441">
        <v>438</v>
      </c>
    </row>
    <row r="442" spans="1:11" x14ac:dyDescent="0.25">
      <c r="A442" s="8" t="s">
        <v>249</v>
      </c>
      <c r="B442" s="8">
        <v>301039</v>
      </c>
      <c r="C442" s="8" t="s">
        <v>249</v>
      </c>
      <c r="D442" s="8" t="s">
        <v>1893</v>
      </c>
      <c r="E442">
        <f t="shared" si="12"/>
        <v>6000000439</v>
      </c>
      <c r="F442">
        <v>6</v>
      </c>
      <c r="J442">
        <f t="shared" si="13"/>
        <v>20000000438</v>
      </c>
      <c r="K442">
        <v>439</v>
      </c>
    </row>
    <row r="443" spans="1:11" x14ac:dyDescent="0.25">
      <c r="A443" s="8" t="s">
        <v>249</v>
      </c>
      <c r="B443" s="8" t="s">
        <v>250</v>
      </c>
      <c r="C443" s="8" t="s">
        <v>249</v>
      </c>
      <c r="D443" s="8" t="s">
        <v>1894</v>
      </c>
      <c r="E443">
        <f t="shared" si="12"/>
        <v>6000000440</v>
      </c>
      <c r="F443">
        <v>6</v>
      </c>
      <c r="J443">
        <f t="shared" si="13"/>
        <v>20000000439</v>
      </c>
      <c r="K443">
        <v>440</v>
      </c>
    </row>
    <row r="444" spans="1:11" x14ac:dyDescent="0.25">
      <c r="A444" s="8" t="s">
        <v>249</v>
      </c>
      <c r="B444" s="8">
        <v>30410</v>
      </c>
      <c r="C444" s="8" t="s">
        <v>249</v>
      </c>
      <c r="D444" s="8" t="s">
        <v>1895</v>
      </c>
      <c r="E444">
        <f t="shared" si="12"/>
        <v>6000000441</v>
      </c>
      <c r="F444">
        <v>6</v>
      </c>
      <c r="J444">
        <f t="shared" si="13"/>
        <v>20000000440</v>
      </c>
      <c r="K444">
        <v>441</v>
      </c>
    </row>
    <row r="445" spans="1:11" x14ac:dyDescent="0.25">
      <c r="A445" s="8" t="s">
        <v>249</v>
      </c>
      <c r="B445" s="8">
        <v>30411</v>
      </c>
      <c r="C445" s="8" t="s">
        <v>249</v>
      </c>
      <c r="D445" s="8" t="s">
        <v>1896</v>
      </c>
      <c r="E445">
        <f t="shared" si="12"/>
        <v>6000000442</v>
      </c>
      <c r="F445">
        <v>6</v>
      </c>
      <c r="J445">
        <f t="shared" si="13"/>
        <v>20000000441</v>
      </c>
      <c r="K445">
        <v>442</v>
      </c>
    </row>
    <row r="446" spans="1:11" x14ac:dyDescent="0.25">
      <c r="A446" s="8" t="s">
        <v>249</v>
      </c>
      <c r="B446" s="8">
        <v>30654</v>
      </c>
      <c r="C446" s="8" t="s">
        <v>249</v>
      </c>
      <c r="D446" s="8" t="s">
        <v>1897</v>
      </c>
      <c r="E446">
        <f t="shared" si="12"/>
        <v>6000000443</v>
      </c>
      <c r="F446">
        <v>6</v>
      </c>
      <c r="J446">
        <f t="shared" si="13"/>
        <v>20000000442</v>
      </c>
      <c r="K446">
        <v>443</v>
      </c>
    </row>
    <row r="447" spans="1:11" x14ac:dyDescent="0.25">
      <c r="A447" s="8" t="s">
        <v>249</v>
      </c>
      <c r="B447" s="8">
        <v>461700</v>
      </c>
      <c r="C447" s="8" t="s">
        <v>249</v>
      </c>
      <c r="D447" s="8" t="s">
        <v>1898</v>
      </c>
      <c r="E447">
        <f t="shared" si="12"/>
        <v>6000000444</v>
      </c>
      <c r="F447">
        <v>6</v>
      </c>
      <c r="J447">
        <f t="shared" si="13"/>
        <v>20000000443</v>
      </c>
      <c r="K447">
        <v>444</v>
      </c>
    </row>
    <row r="448" spans="1:11" x14ac:dyDescent="0.25">
      <c r="A448" s="8" t="s">
        <v>249</v>
      </c>
      <c r="B448" s="8" t="s">
        <v>1440</v>
      </c>
      <c r="C448" s="8" t="s">
        <v>249</v>
      </c>
      <c r="D448" s="8" t="s">
        <v>1898</v>
      </c>
      <c r="E448">
        <f t="shared" si="12"/>
        <v>6000000445</v>
      </c>
      <c r="F448">
        <v>6</v>
      </c>
      <c r="J448">
        <f t="shared" si="13"/>
        <v>20000000444</v>
      </c>
      <c r="K448">
        <v>445</v>
      </c>
    </row>
    <row r="449" spans="1:11" x14ac:dyDescent="0.25">
      <c r="A449" s="8" t="s">
        <v>249</v>
      </c>
      <c r="B449" s="8" t="s">
        <v>1441</v>
      </c>
      <c r="C449" s="8" t="s">
        <v>249</v>
      </c>
      <c r="D449" s="8" t="s">
        <v>1898</v>
      </c>
      <c r="E449">
        <f t="shared" si="12"/>
        <v>6000000446</v>
      </c>
      <c r="F449">
        <v>6</v>
      </c>
      <c r="J449">
        <f t="shared" si="13"/>
        <v>20000000445</v>
      </c>
      <c r="K449">
        <v>446</v>
      </c>
    </row>
    <row r="450" spans="1:11" x14ac:dyDescent="0.25">
      <c r="A450" s="8" t="s">
        <v>249</v>
      </c>
      <c r="B450" s="8" t="s">
        <v>1442</v>
      </c>
      <c r="C450" s="8" t="s">
        <v>249</v>
      </c>
      <c r="D450" s="8" t="s">
        <v>1898</v>
      </c>
      <c r="E450">
        <f t="shared" si="12"/>
        <v>6000000447</v>
      </c>
      <c r="F450">
        <v>6</v>
      </c>
      <c r="J450">
        <f t="shared" si="13"/>
        <v>20000000446</v>
      </c>
      <c r="K450">
        <v>447</v>
      </c>
    </row>
    <row r="451" spans="1:11" x14ac:dyDescent="0.25">
      <c r="A451" s="8" t="s">
        <v>249</v>
      </c>
      <c r="B451" s="8" t="s">
        <v>1443</v>
      </c>
      <c r="C451" s="8" t="s">
        <v>249</v>
      </c>
      <c r="D451" s="8" t="s">
        <v>1898</v>
      </c>
      <c r="E451">
        <f t="shared" ref="E451:E516" si="14">IF(F451="",J451,IF(G451="",F451*$F$2+K451,IF(H451="",F451*$F$2+G451*$G$2+K451,IF(I451="",F451*$F$2+G451*$G$2+H451*$H$2+K451,F451*$F$2+G451*$G$2+H451*$H$2+I451*$I$2+K451))))</f>
        <v>6000000448</v>
      </c>
      <c r="F451">
        <v>6</v>
      </c>
      <c r="J451">
        <f t="shared" si="13"/>
        <v>20000000447</v>
      </c>
      <c r="K451">
        <v>448</v>
      </c>
    </row>
    <row r="452" spans="1:11" x14ac:dyDescent="0.25">
      <c r="A452" s="8" t="s">
        <v>249</v>
      </c>
      <c r="B452" s="8">
        <v>46400</v>
      </c>
      <c r="C452" s="8" t="s">
        <v>249</v>
      </c>
      <c r="D452" s="8" t="s">
        <v>1899</v>
      </c>
      <c r="E452">
        <f t="shared" si="14"/>
        <v>6000000449</v>
      </c>
      <c r="F452">
        <v>6</v>
      </c>
      <c r="J452">
        <f t="shared" si="13"/>
        <v>20000000448</v>
      </c>
      <c r="K452">
        <v>449</v>
      </c>
    </row>
    <row r="453" spans="1:11" x14ac:dyDescent="0.25">
      <c r="A453" s="8" t="s">
        <v>249</v>
      </c>
      <c r="B453" s="8">
        <v>837221</v>
      </c>
      <c r="C453" s="8" t="s">
        <v>249</v>
      </c>
      <c r="D453" s="8" t="s">
        <v>1900</v>
      </c>
      <c r="E453">
        <f t="shared" si="14"/>
        <v>6000000450</v>
      </c>
      <c r="F453">
        <v>6</v>
      </c>
      <c r="J453">
        <f t="shared" si="13"/>
        <v>20000000449</v>
      </c>
      <c r="K453">
        <v>450</v>
      </c>
    </row>
    <row r="454" spans="1:11" x14ac:dyDescent="0.25">
      <c r="A454" s="8" t="s">
        <v>41</v>
      </c>
      <c r="B454" s="8" t="s">
        <v>1132</v>
      </c>
      <c r="C454" s="8" t="s">
        <v>41</v>
      </c>
      <c r="D454" s="8" t="s">
        <v>1901</v>
      </c>
      <c r="E454">
        <f t="shared" si="14"/>
        <v>6000000451</v>
      </c>
      <c r="F454">
        <v>6</v>
      </c>
      <c r="J454">
        <f t="shared" si="13"/>
        <v>20000000450</v>
      </c>
      <c r="K454">
        <v>451</v>
      </c>
    </row>
    <row r="455" spans="1:11" x14ac:dyDescent="0.25">
      <c r="A455" s="8" t="s">
        <v>41</v>
      </c>
      <c r="B455" s="8" t="s">
        <v>1133</v>
      </c>
      <c r="C455" s="8" t="s">
        <v>41</v>
      </c>
      <c r="D455" s="8" t="s">
        <v>1902</v>
      </c>
      <c r="E455">
        <f t="shared" si="14"/>
        <v>6000000452</v>
      </c>
      <c r="F455">
        <v>6</v>
      </c>
      <c r="J455">
        <f t="shared" ref="J455:J520" si="15">J454+1</f>
        <v>20000000451</v>
      </c>
      <c r="K455">
        <v>452</v>
      </c>
    </row>
    <row r="456" spans="1:11" x14ac:dyDescent="0.25">
      <c r="A456" s="8" t="s">
        <v>41</v>
      </c>
      <c r="B456" s="8" t="s">
        <v>1134</v>
      </c>
      <c r="C456" s="8" t="s">
        <v>41</v>
      </c>
      <c r="D456" s="8" t="s">
        <v>1903</v>
      </c>
      <c r="E456">
        <f t="shared" si="14"/>
        <v>6000000453</v>
      </c>
      <c r="F456">
        <v>6</v>
      </c>
      <c r="J456">
        <f t="shared" si="15"/>
        <v>20000000452</v>
      </c>
      <c r="K456">
        <v>453</v>
      </c>
    </row>
    <row r="457" spans="1:11" x14ac:dyDescent="0.25">
      <c r="A457" s="8" t="s">
        <v>41</v>
      </c>
      <c r="B457" s="8" t="s">
        <v>1135</v>
      </c>
      <c r="C457" s="8" t="s">
        <v>41</v>
      </c>
      <c r="D457" s="8" t="s">
        <v>1904</v>
      </c>
      <c r="E457">
        <f t="shared" si="14"/>
        <v>6000000454</v>
      </c>
      <c r="F457">
        <v>6</v>
      </c>
      <c r="J457">
        <f t="shared" si="15"/>
        <v>20000000453</v>
      </c>
      <c r="K457">
        <v>454</v>
      </c>
    </row>
    <row r="458" spans="1:11" x14ac:dyDescent="0.25">
      <c r="A458" s="8" t="s">
        <v>41</v>
      </c>
      <c r="B458" s="8" t="s">
        <v>1136</v>
      </c>
      <c r="C458" s="8" t="s">
        <v>41</v>
      </c>
      <c r="D458" s="8" t="s">
        <v>1905</v>
      </c>
      <c r="E458">
        <f t="shared" si="14"/>
        <v>6000000455</v>
      </c>
      <c r="F458">
        <v>6</v>
      </c>
      <c r="J458">
        <f t="shared" si="15"/>
        <v>20000000454</v>
      </c>
      <c r="K458">
        <v>455</v>
      </c>
    </row>
    <row r="459" spans="1:11" x14ac:dyDescent="0.25">
      <c r="A459" s="8" t="s">
        <v>41</v>
      </c>
      <c r="B459" s="8" t="s">
        <v>1137</v>
      </c>
      <c r="C459" s="8" t="s">
        <v>41</v>
      </c>
      <c r="D459" s="8" t="s">
        <v>1906</v>
      </c>
      <c r="E459">
        <f t="shared" si="14"/>
        <v>6000000456</v>
      </c>
      <c r="F459">
        <v>6</v>
      </c>
      <c r="J459">
        <f t="shared" si="15"/>
        <v>20000000455</v>
      </c>
      <c r="K459">
        <v>456</v>
      </c>
    </row>
    <row r="460" spans="1:11" x14ac:dyDescent="0.25">
      <c r="A460" s="8" t="s">
        <v>251</v>
      </c>
      <c r="B460" s="8" t="s">
        <v>252</v>
      </c>
      <c r="C460" s="8" t="s">
        <v>251</v>
      </c>
      <c r="D460" s="8" t="s">
        <v>1907</v>
      </c>
      <c r="E460">
        <f t="shared" si="14"/>
        <v>3000000457</v>
      </c>
      <c r="F460">
        <v>3</v>
      </c>
      <c r="J460">
        <f t="shared" si="15"/>
        <v>20000000456</v>
      </c>
      <c r="K460">
        <v>457</v>
      </c>
    </row>
    <row r="461" spans="1:11" x14ac:dyDescent="0.25">
      <c r="A461" s="8" t="s">
        <v>251</v>
      </c>
      <c r="B461" s="8" t="s">
        <v>253</v>
      </c>
      <c r="C461" s="8" t="s">
        <v>251</v>
      </c>
      <c r="D461" s="8" t="s">
        <v>1908</v>
      </c>
      <c r="E461">
        <f t="shared" si="14"/>
        <v>3000000458</v>
      </c>
      <c r="F461">
        <v>3</v>
      </c>
      <c r="J461">
        <f t="shared" si="15"/>
        <v>20000000457</v>
      </c>
      <c r="K461">
        <v>458</v>
      </c>
    </row>
    <row r="462" spans="1:11" x14ac:dyDescent="0.25">
      <c r="A462" s="8" t="s">
        <v>254</v>
      </c>
      <c r="B462" s="8" t="s">
        <v>255</v>
      </c>
      <c r="C462" s="8" t="s">
        <v>254</v>
      </c>
      <c r="D462" s="8" t="s">
        <v>1909</v>
      </c>
      <c r="E462">
        <f t="shared" si="14"/>
        <v>4000000459</v>
      </c>
      <c r="F462">
        <v>4</v>
      </c>
      <c r="J462">
        <f t="shared" si="15"/>
        <v>20000000458</v>
      </c>
      <c r="K462">
        <v>459</v>
      </c>
    </row>
    <row r="463" spans="1:11" x14ac:dyDescent="0.25">
      <c r="A463" s="8" t="s">
        <v>254</v>
      </c>
      <c r="B463" s="8" t="s">
        <v>256</v>
      </c>
      <c r="C463" s="8" t="s">
        <v>254</v>
      </c>
      <c r="D463" s="8" t="s">
        <v>1910</v>
      </c>
      <c r="E463">
        <f t="shared" si="14"/>
        <v>4000000460</v>
      </c>
      <c r="F463">
        <v>4</v>
      </c>
      <c r="J463">
        <f t="shared" si="15"/>
        <v>20000000459</v>
      </c>
      <c r="K463">
        <v>460</v>
      </c>
    </row>
    <row r="464" spans="1:11" x14ac:dyDescent="0.25">
      <c r="A464" s="8" t="s">
        <v>254</v>
      </c>
      <c r="B464" s="8" t="s">
        <v>257</v>
      </c>
      <c r="C464" s="8" t="s">
        <v>254</v>
      </c>
      <c r="D464" s="8" t="s">
        <v>1911</v>
      </c>
      <c r="E464">
        <f t="shared" si="14"/>
        <v>4000000461</v>
      </c>
      <c r="F464">
        <v>4</v>
      </c>
      <c r="J464">
        <f t="shared" si="15"/>
        <v>20000000460</v>
      </c>
      <c r="K464">
        <v>461</v>
      </c>
    </row>
    <row r="465" spans="1:11" x14ac:dyDescent="0.25">
      <c r="A465" s="8" t="s">
        <v>254</v>
      </c>
      <c r="B465" s="8" t="s">
        <v>258</v>
      </c>
      <c r="C465" s="8" t="s">
        <v>254</v>
      </c>
      <c r="D465" s="8" t="s">
        <v>1912</v>
      </c>
      <c r="E465">
        <f t="shared" si="14"/>
        <v>4000000462</v>
      </c>
      <c r="F465">
        <v>4</v>
      </c>
      <c r="J465">
        <f t="shared" si="15"/>
        <v>20000000461</v>
      </c>
      <c r="K465">
        <v>462</v>
      </c>
    </row>
    <row r="466" spans="1:11" x14ac:dyDescent="0.25">
      <c r="A466" s="8" t="s">
        <v>254</v>
      </c>
      <c r="B466" s="8" t="s">
        <v>259</v>
      </c>
      <c r="C466" s="8" t="s">
        <v>254</v>
      </c>
      <c r="D466" s="8" t="s">
        <v>1913</v>
      </c>
      <c r="E466">
        <f t="shared" si="14"/>
        <v>4000000463</v>
      </c>
      <c r="F466">
        <v>4</v>
      </c>
      <c r="J466">
        <f t="shared" si="15"/>
        <v>20000000462</v>
      </c>
      <c r="K466">
        <v>463</v>
      </c>
    </row>
    <row r="467" spans="1:11" x14ac:dyDescent="0.25">
      <c r="A467" s="8" t="s">
        <v>254</v>
      </c>
      <c r="B467" s="8" t="s">
        <v>260</v>
      </c>
      <c r="C467" s="8" t="s">
        <v>254</v>
      </c>
      <c r="D467" s="8" t="s">
        <v>1914</v>
      </c>
      <c r="E467">
        <f t="shared" si="14"/>
        <v>4000000464</v>
      </c>
      <c r="F467">
        <v>4</v>
      </c>
      <c r="J467">
        <f t="shared" si="15"/>
        <v>20000000463</v>
      </c>
      <c r="K467">
        <v>464</v>
      </c>
    </row>
    <row r="468" spans="1:11" x14ac:dyDescent="0.25">
      <c r="A468" s="8" t="s">
        <v>254</v>
      </c>
      <c r="B468" s="8" t="s">
        <v>261</v>
      </c>
      <c r="C468" s="8" t="s">
        <v>254</v>
      </c>
      <c r="D468" s="8" t="s">
        <v>1915</v>
      </c>
      <c r="E468">
        <f t="shared" si="14"/>
        <v>4000000465</v>
      </c>
      <c r="F468">
        <v>4</v>
      </c>
      <c r="J468">
        <f t="shared" si="15"/>
        <v>20000000464</v>
      </c>
      <c r="K468">
        <v>465</v>
      </c>
    </row>
    <row r="469" spans="1:11" x14ac:dyDescent="0.25">
      <c r="A469" s="8" t="s">
        <v>254</v>
      </c>
      <c r="B469" s="8" t="s">
        <v>28</v>
      </c>
      <c r="C469" s="8" t="s">
        <v>254</v>
      </c>
      <c r="D469" s="8" t="s">
        <v>1916</v>
      </c>
      <c r="E469">
        <f t="shared" si="14"/>
        <v>4000000466</v>
      </c>
      <c r="F469">
        <v>4</v>
      </c>
      <c r="J469">
        <f t="shared" si="15"/>
        <v>20000000465</v>
      </c>
      <c r="K469">
        <v>466</v>
      </c>
    </row>
    <row r="470" spans="1:11" x14ac:dyDescent="0.25">
      <c r="A470" s="8" t="s">
        <v>254</v>
      </c>
      <c r="B470" s="8" t="s">
        <v>262</v>
      </c>
      <c r="C470" s="8" t="s">
        <v>254</v>
      </c>
      <c r="D470" s="8" t="s">
        <v>1917</v>
      </c>
      <c r="E470">
        <f t="shared" si="14"/>
        <v>4000000467</v>
      </c>
      <c r="F470">
        <v>4</v>
      </c>
      <c r="J470">
        <f t="shared" si="15"/>
        <v>20000000466</v>
      </c>
      <c r="K470">
        <v>467</v>
      </c>
    </row>
    <row r="471" spans="1:11" x14ac:dyDescent="0.25">
      <c r="A471" s="8" t="s">
        <v>254</v>
      </c>
      <c r="B471" s="8" t="s">
        <v>263</v>
      </c>
      <c r="C471" s="8" t="s">
        <v>254</v>
      </c>
      <c r="D471" s="8" t="s">
        <v>1918</v>
      </c>
      <c r="E471">
        <f t="shared" si="14"/>
        <v>4000000468</v>
      </c>
      <c r="F471">
        <v>4</v>
      </c>
      <c r="J471">
        <f t="shared" si="15"/>
        <v>20000000467</v>
      </c>
      <c r="K471">
        <v>468</v>
      </c>
    </row>
    <row r="472" spans="1:11" x14ac:dyDescent="0.25">
      <c r="A472" s="8" t="s">
        <v>254</v>
      </c>
      <c r="B472" s="8" t="s">
        <v>264</v>
      </c>
      <c r="C472" s="8" t="s">
        <v>254</v>
      </c>
      <c r="D472" s="8" t="s">
        <v>1919</v>
      </c>
      <c r="E472">
        <f t="shared" si="14"/>
        <v>4000000469</v>
      </c>
      <c r="F472">
        <v>4</v>
      </c>
      <c r="J472">
        <f t="shared" si="15"/>
        <v>20000000468</v>
      </c>
      <c r="K472">
        <v>469</v>
      </c>
    </row>
    <row r="473" spans="1:11" x14ac:dyDescent="0.25">
      <c r="A473" s="8" t="s">
        <v>254</v>
      </c>
      <c r="B473" s="8" t="s">
        <v>1138</v>
      </c>
      <c r="C473" s="8" t="s">
        <v>254</v>
      </c>
      <c r="D473" s="8" t="s">
        <v>1920</v>
      </c>
      <c r="E473">
        <f t="shared" si="14"/>
        <v>4000000470</v>
      </c>
      <c r="F473">
        <v>4</v>
      </c>
      <c r="J473">
        <f t="shared" si="15"/>
        <v>20000000469</v>
      </c>
      <c r="K473">
        <v>470</v>
      </c>
    </row>
    <row r="474" spans="1:11" x14ac:dyDescent="0.25">
      <c r="A474" s="8" t="s">
        <v>254</v>
      </c>
      <c r="B474" s="8" t="s">
        <v>1139</v>
      </c>
      <c r="C474" s="8" t="s">
        <v>254</v>
      </c>
      <c r="D474" s="8" t="s">
        <v>1921</v>
      </c>
      <c r="E474">
        <f t="shared" si="14"/>
        <v>4000000471</v>
      </c>
      <c r="F474">
        <v>4</v>
      </c>
      <c r="J474">
        <f t="shared" si="15"/>
        <v>20000000470</v>
      </c>
      <c r="K474">
        <v>471</v>
      </c>
    </row>
    <row r="475" spans="1:11" x14ac:dyDescent="0.25">
      <c r="A475" s="8" t="s">
        <v>254</v>
      </c>
      <c r="B475" s="8" t="s">
        <v>1140</v>
      </c>
      <c r="C475" s="8" t="s">
        <v>254</v>
      </c>
      <c r="D475" s="8" t="s">
        <v>1922</v>
      </c>
      <c r="E475">
        <f t="shared" si="14"/>
        <v>4000000472</v>
      </c>
      <c r="F475">
        <v>4</v>
      </c>
      <c r="J475">
        <f t="shared" si="15"/>
        <v>20000000471</v>
      </c>
      <c r="K475">
        <v>472</v>
      </c>
    </row>
    <row r="476" spans="1:11" x14ac:dyDescent="0.25">
      <c r="A476" s="8" t="s">
        <v>254</v>
      </c>
      <c r="B476" s="8" t="s">
        <v>1141</v>
      </c>
      <c r="C476" s="8" t="s">
        <v>254</v>
      </c>
      <c r="D476" s="8" t="s">
        <v>1923</v>
      </c>
      <c r="E476">
        <f t="shared" si="14"/>
        <v>4000000473</v>
      </c>
      <c r="F476">
        <v>4</v>
      </c>
      <c r="J476">
        <f t="shared" si="15"/>
        <v>20000000472</v>
      </c>
      <c r="K476">
        <v>473</v>
      </c>
    </row>
    <row r="477" spans="1:11" x14ac:dyDescent="0.25">
      <c r="A477" s="8" t="s">
        <v>254</v>
      </c>
      <c r="B477" s="8" t="s">
        <v>1142</v>
      </c>
      <c r="C477" s="8" t="s">
        <v>254</v>
      </c>
      <c r="D477" s="8" t="s">
        <v>1924</v>
      </c>
      <c r="E477">
        <f t="shared" si="14"/>
        <v>4000000474</v>
      </c>
      <c r="F477">
        <v>4</v>
      </c>
      <c r="J477">
        <f t="shared" si="15"/>
        <v>20000000473</v>
      </c>
      <c r="K477">
        <v>474</v>
      </c>
    </row>
    <row r="478" spans="1:11" x14ac:dyDescent="0.25">
      <c r="A478" s="8" t="s">
        <v>254</v>
      </c>
      <c r="B478" s="8" t="s">
        <v>265</v>
      </c>
      <c r="C478" s="8" t="s">
        <v>254</v>
      </c>
      <c r="D478" s="8" t="s">
        <v>1925</v>
      </c>
      <c r="E478">
        <f t="shared" si="14"/>
        <v>4000000475</v>
      </c>
      <c r="F478">
        <v>4</v>
      </c>
      <c r="J478">
        <f t="shared" si="15"/>
        <v>20000000474</v>
      </c>
      <c r="K478">
        <v>475</v>
      </c>
    </row>
    <row r="479" spans="1:11" x14ac:dyDescent="0.25">
      <c r="A479" s="8" t="s">
        <v>254</v>
      </c>
      <c r="B479" s="8" t="s">
        <v>266</v>
      </c>
      <c r="C479" s="8" t="s">
        <v>254</v>
      </c>
      <c r="D479" s="8" t="s">
        <v>1926</v>
      </c>
      <c r="E479">
        <f t="shared" si="14"/>
        <v>4000000476</v>
      </c>
      <c r="F479">
        <v>4</v>
      </c>
      <c r="J479">
        <f t="shared" si="15"/>
        <v>20000000475</v>
      </c>
      <c r="K479">
        <v>476</v>
      </c>
    </row>
    <row r="480" spans="1:11" x14ac:dyDescent="0.25">
      <c r="A480" s="8" t="s">
        <v>254</v>
      </c>
      <c r="B480" s="8" t="s">
        <v>1143</v>
      </c>
      <c r="C480" s="8" t="s">
        <v>254</v>
      </c>
      <c r="D480" s="8" t="s">
        <v>1927</v>
      </c>
      <c r="E480">
        <f t="shared" si="14"/>
        <v>4000000477</v>
      </c>
      <c r="F480">
        <v>4</v>
      </c>
      <c r="J480">
        <f t="shared" si="15"/>
        <v>20000000476</v>
      </c>
      <c r="K480">
        <v>477</v>
      </c>
    </row>
    <row r="481" spans="1:11" x14ac:dyDescent="0.25">
      <c r="A481" s="8" t="s">
        <v>254</v>
      </c>
      <c r="B481" s="8" t="s">
        <v>1144</v>
      </c>
      <c r="C481" s="8" t="s">
        <v>254</v>
      </c>
      <c r="D481" s="8" t="s">
        <v>1928</v>
      </c>
      <c r="E481">
        <f t="shared" si="14"/>
        <v>4000000478</v>
      </c>
      <c r="F481">
        <v>4</v>
      </c>
      <c r="J481">
        <f t="shared" si="15"/>
        <v>20000000477</v>
      </c>
      <c r="K481">
        <v>478</v>
      </c>
    </row>
    <row r="482" spans="1:11" x14ac:dyDescent="0.25">
      <c r="A482" s="8" t="s">
        <v>254</v>
      </c>
      <c r="B482" s="8" t="s">
        <v>43</v>
      </c>
      <c r="C482" s="8" t="s">
        <v>254</v>
      </c>
      <c r="D482" s="8" t="s">
        <v>1929</v>
      </c>
      <c r="E482">
        <f t="shared" si="14"/>
        <v>4000000479</v>
      </c>
      <c r="F482">
        <v>4</v>
      </c>
      <c r="J482">
        <f t="shared" si="15"/>
        <v>20000000478</v>
      </c>
      <c r="K482">
        <v>479</v>
      </c>
    </row>
    <row r="483" spans="1:11" x14ac:dyDescent="0.25">
      <c r="A483" s="8" t="s">
        <v>254</v>
      </c>
      <c r="B483" s="8" t="s">
        <v>267</v>
      </c>
      <c r="C483" s="8" t="s">
        <v>254</v>
      </c>
      <c r="D483" s="8" t="s">
        <v>1930</v>
      </c>
      <c r="E483">
        <f t="shared" si="14"/>
        <v>4000000480</v>
      </c>
      <c r="F483">
        <v>4</v>
      </c>
      <c r="J483">
        <f t="shared" si="15"/>
        <v>20000000479</v>
      </c>
      <c r="K483">
        <v>480</v>
      </c>
    </row>
    <row r="484" spans="1:11" x14ac:dyDescent="0.25">
      <c r="A484" s="8" t="s">
        <v>254</v>
      </c>
      <c r="B484" s="8" t="s">
        <v>873</v>
      </c>
      <c r="C484" s="8" t="s">
        <v>254</v>
      </c>
      <c r="D484" s="8" t="s">
        <v>1931</v>
      </c>
      <c r="E484">
        <f t="shared" si="14"/>
        <v>4000000481</v>
      </c>
      <c r="F484">
        <v>4</v>
      </c>
      <c r="J484">
        <f t="shared" si="15"/>
        <v>20000000480</v>
      </c>
      <c r="K484">
        <v>481</v>
      </c>
    </row>
    <row r="485" spans="1:11" x14ac:dyDescent="0.25">
      <c r="A485" s="8" t="s">
        <v>254</v>
      </c>
      <c r="B485" s="8" t="s">
        <v>268</v>
      </c>
      <c r="C485" s="8" t="s">
        <v>254</v>
      </c>
      <c r="D485" s="8" t="s">
        <v>1932</v>
      </c>
      <c r="E485">
        <f t="shared" si="14"/>
        <v>4000000482</v>
      </c>
      <c r="F485">
        <v>4</v>
      </c>
      <c r="J485">
        <f t="shared" si="15"/>
        <v>20000000481</v>
      </c>
      <c r="K485">
        <v>482</v>
      </c>
    </row>
    <row r="486" spans="1:11" x14ac:dyDescent="0.25">
      <c r="A486" s="8" t="s">
        <v>254</v>
      </c>
      <c r="B486" s="8" t="s">
        <v>269</v>
      </c>
      <c r="C486" s="8" t="s">
        <v>254</v>
      </c>
      <c r="D486" s="8" t="s">
        <v>1933</v>
      </c>
      <c r="E486">
        <f t="shared" si="14"/>
        <v>4000000483</v>
      </c>
      <c r="F486">
        <v>4</v>
      </c>
      <c r="J486">
        <f t="shared" si="15"/>
        <v>20000000482</v>
      </c>
      <c r="K486">
        <v>483</v>
      </c>
    </row>
    <row r="487" spans="1:11" x14ac:dyDescent="0.25">
      <c r="A487" s="8" t="s">
        <v>254</v>
      </c>
      <c r="B487" s="8" t="s">
        <v>270</v>
      </c>
      <c r="C487" s="8" t="s">
        <v>254</v>
      </c>
      <c r="D487" s="8" t="s">
        <v>1934</v>
      </c>
      <c r="E487">
        <f t="shared" si="14"/>
        <v>4000000484</v>
      </c>
      <c r="F487">
        <v>4</v>
      </c>
      <c r="J487">
        <f t="shared" si="15"/>
        <v>20000000483</v>
      </c>
      <c r="K487">
        <v>484</v>
      </c>
    </row>
    <row r="488" spans="1:11" x14ac:dyDescent="0.25">
      <c r="A488" s="8" t="s">
        <v>254</v>
      </c>
      <c r="B488" s="8" t="s">
        <v>271</v>
      </c>
      <c r="C488" s="8" t="s">
        <v>254</v>
      </c>
      <c r="D488" s="8" t="s">
        <v>1935</v>
      </c>
      <c r="E488">
        <f t="shared" si="14"/>
        <v>4000000485</v>
      </c>
      <c r="F488">
        <v>4</v>
      </c>
      <c r="J488">
        <f t="shared" si="15"/>
        <v>20000000484</v>
      </c>
      <c r="K488">
        <v>485</v>
      </c>
    </row>
    <row r="489" spans="1:11" x14ac:dyDescent="0.25">
      <c r="A489" s="8" t="s">
        <v>254</v>
      </c>
      <c r="B489" s="8" t="s">
        <v>272</v>
      </c>
      <c r="C489" s="8" t="s">
        <v>254</v>
      </c>
      <c r="D489" s="8" t="s">
        <v>1936</v>
      </c>
      <c r="E489">
        <f t="shared" si="14"/>
        <v>4000000486</v>
      </c>
      <c r="F489">
        <v>4</v>
      </c>
      <c r="J489">
        <f t="shared" si="15"/>
        <v>20000000485</v>
      </c>
      <c r="K489">
        <v>486</v>
      </c>
    </row>
    <row r="490" spans="1:11" x14ac:dyDescent="0.25">
      <c r="A490" s="8" t="s">
        <v>254</v>
      </c>
      <c r="B490" s="8" t="s">
        <v>1145</v>
      </c>
      <c r="C490" s="8" t="s">
        <v>254</v>
      </c>
      <c r="D490" s="8" t="s">
        <v>1937</v>
      </c>
      <c r="E490">
        <f t="shared" si="14"/>
        <v>4000000487</v>
      </c>
      <c r="F490">
        <v>4</v>
      </c>
      <c r="J490">
        <f t="shared" si="15"/>
        <v>20000000486</v>
      </c>
      <c r="K490">
        <v>487</v>
      </c>
    </row>
    <row r="491" spans="1:11" x14ac:dyDescent="0.25">
      <c r="A491" s="8" t="s">
        <v>254</v>
      </c>
      <c r="B491" s="8" t="s">
        <v>1146</v>
      </c>
      <c r="C491" s="8" t="s">
        <v>254</v>
      </c>
      <c r="D491" s="8" t="s">
        <v>1938</v>
      </c>
      <c r="E491">
        <f t="shared" si="14"/>
        <v>4000000488</v>
      </c>
      <c r="F491">
        <v>4</v>
      </c>
      <c r="J491">
        <f t="shared" si="15"/>
        <v>20000000487</v>
      </c>
      <c r="K491">
        <v>488</v>
      </c>
    </row>
    <row r="492" spans="1:11" x14ac:dyDescent="0.25">
      <c r="A492" s="8" t="s">
        <v>254</v>
      </c>
      <c r="B492" s="8" t="s">
        <v>1147</v>
      </c>
      <c r="C492" s="8" t="s">
        <v>254</v>
      </c>
      <c r="D492" s="8" t="s">
        <v>1939</v>
      </c>
      <c r="E492">
        <f t="shared" si="14"/>
        <v>4000000489</v>
      </c>
      <c r="F492">
        <v>4</v>
      </c>
      <c r="J492">
        <f t="shared" si="15"/>
        <v>20000000488</v>
      </c>
      <c r="K492">
        <v>489</v>
      </c>
    </row>
    <row r="493" spans="1:11" x14ac:dyDescent="0.25">
      <c r="A493" s="8" t="s">
        <v>254</v>
      </c>
      <c r="B493" s="8" t="s">
        <v>758</v>
      </c>
      <c r="C493" s="8" t="s">
        <v>254</v>
      </c>
      <c r="D493" s="8" t="s">
        <v>1940</v>
      </c>
      <c r="E493">
        <f t="shared" si="14"/>
        <v>4000000490</v>
      </c>
      <c r="F493">
        <v>4</v>
      </c>
      <c r="J493">
        <f t="shared" si="15"/>
        <v>20000000489</v>
      </c>
      <c r="K493">
        <v>490</v>
      </c>
    </row>
    <row r="494" spans="1:11" x14ac:dyDescent="0.25">
      <c r="A494" s="8" t="s">
        <v>254</v>
      </c>
      <c r="B494" s="8" t="s">
        <v>1148</v>
      </c>
      <c r="C494" s="8" t="s">
        <v>254</v>
      </c>
      <c r="D494" s="8" t="s">
        <v>1941</v>
      </c>
      <c r="E494">
        <f t="shared" si="14"/>
        <v>4000000491</v>
      </c>
      <c r="F494">
        <v>4</v>
      </c>
      <c r="J494">
        <f t="shared" si="15"/>
        <v>20000000490</v>
      </c>
      <c r="K494">
        <v>491</v>
      </c>
    </row>
    <row r="495" spans="1:11" x14ac:dyDescent="0.25">
      <c r="A495" s="8" t="s">
        <v>254</v>
      </c>
      <c r="B495" s="8" t="s">
        <v>273</v>
      </c>
      <c r="C495" s="8" t="s">
        <v>254</v>
      </c>
      <c r="D495" s="8" t="s">
        <v>1942</v>
      </c>
      <c r="E495">
        <f t="shared" si="14"/>
        <v>4000000492</v>
      </c>
      <c r="F495">
        <v>4</v>
      </c>
      <c r="J495">
        <f t="shared" si="15"/>
        <v>20000000491</v>
      </c>
      <c r="K495">
        <v>492</v>
      </c>
    </row>
    <row r="496" spans="1:11" x14ac:dyDescent="0.25">
      <c r="A496" s="8" t="s">
        <v>254</v>
      </c>
      <c r="B496" s="8" t="s">
        <v>1149</v>
      </c>
      <c r="C496" s="8" t="s">
        <v>254</v>
      </c>
      <c r="D496" s="8" t="s">
        <v>1943</v>
      </c>
      <c r="E496">
        <f t="shared" si="14"/>
        <v>4000000493</v>
      </c>
      <c r="F496">
        <v>4</v>
      </c>
      <c r="J496">
        <f t="shared" si="15"/>
        <v>20000000492</v>
      </c>
      <c r="K496">
        <v>493</v>
      </c>
    </row>
    <row r="497" spans="1:14" x14ac:dyDescent="0.25">
      <c r="A497" s="8" t="s">
        <v>254</v>
      </c>
      <c r="B497" s="8" t="s">
        <v>274</v>
      </c>
      <c r="C497" s="8" t="s">
        <v>254</v>
      </c>
      <c r="D497" s="8" t="s">
        <v>1944</v>
      </c>
      <c r="E497">
        <f t="shared" si="14"/>
        <v>4000000494</v>
      </c>
      <c r="F497">
        <v>4</v>
      </c>
      <c r="J497">
        <f t="shared" si="15"/>
        <v>20000000493</v>
      </c>
      <c r="K497">
        <v>494</v>
      </c>
    </row>
    <row r="498" spans="1:14" x14ac:dyDescent="0.25">
      <c r="A498" s="8" t="s">
        <v>254</v>
      </c>
      <c r="B498" s="8" t="s">
        <v>275</v>
      </c>
      <c r="C498" s="8" t="s">
        <v>254</v>
      </c>
      <c r="D498" s="8" t="s">
        <v>1945</v>
      </c>
      <c r="E498">
        <f t="shared" si="14"/>
        <v>4000000495</v>
      </c>
      <c r="F498">
        <v>4</v>
      </c>
      <c r="J498">
        <f t="shared" si="15"/>
        <v>20000000494</v>
      </c>
      <c r="K498">
        <v>495</v>
      </c>
    </row>
    <row r="499" spans="1:14" x14ac:dyDescent="0.25">
      <c r="A499" s="8" t="s">
        <v>254</v>
      </c>
      <c r="B499" s="8" t="s">
        <v>276</v>
      </c>
      <c r="C499" s="8" t="s">
        <v>254</v>
      </c>
      <c r="D499" s="8" t="s">
        <v>1946</v>
      </c>
      <c r="E499">
        <f t="shared" si="14"/>
        <v>4000000496</v>
      </c>
      <c r="F499">
        <v>4</v>
      </c>
      <c r="J499">
        <f t="shared" si="15"/>
        <v>20000000495</v>
      </c>
      <c r="K499">
        <v>496</v>
      </c>
    </row>
    <row r="500" spans="1:14" x14ac:dyDescent="0.25">
      <c r="A500" s="8" t="s">
        <v>254</v>
      </c>
      <c r="B500" s="8" t="s">
        <v>277</v>
      </c>
      <c r="C500" s="8" t="s">
        <v>254</v>
      </c>
      <c r="D500" s="8" t="s">
        <v>1947</v>
      </c>
      <c r="E500">
        <f t="shared" si="14"/>
        <v>4000000497</v>
      </c>
      <c r="F500">
        <v>4</v>
      </c>
      <c r="J500">
        <f t="shared" si="15"/>
        <v>20000000496</v>
      </c>
      <c r="K500">
        <v>497</v>
      </c>
      <c r="M500">
        <v>100</v>
      </c>
      <c r="N500">
        <v>100</v>
      </c>
    </row>
    <row r="501" spans="1:14" x14ac:dyDescent="0.25">
      <c r="A501" s="8" t="s">
        <v>254</v>
      </c>
      <c r="B501" s="8" t="s">
        <v>42</v>
      </c>
      <c r="C501" s="8" t="s">
        <v>254</v>
      </c>
      <c r="D501" s="8" t="s">
        <v>1948</v>
      </c>
      <c r="E501">
        <f t="shared" si="14"/>
        <v>4000000498</v>
      </c>
      <c r="F501">
        <v>4</v>
      </c>
      <c r="J501">
        <f t="shared" si="15"/>
        <v>20000000497</v>
      </c>
      <c r="K501">
        <v>498</v>
      </c>
      <c r="M501">
        <v>100</v>
      </c>
      <c r="N501">
        <v>100</v>
      </c>
    </row>
    <row r="502" spans="1:14" x14ac:dyDescent="0.25">
      <c r="A502" s="8" t="s">
        <v>254</v>
      </c>
      <c r="B502" s="8" t="s">
        <v>1150</v>
      </c>
      <c r="C502" s="8" t="s">
        <v>254</v>
      </c>
      <c r="D502" s="8" t="s">
        <v>1949</v>
      </c>
      <c r="E502">
        <f t="shared" si="14"/>
        <v>4000000499</v>
      </c>
      <c r="F502">
        <v>4</v>
      </c>
      <c r="J502">
        <f t="shared" si="15"/>
        <v>20000000498</v>
      </c>
      <c r="K502">
        <v>499</v>
      </c>
      <c r="M502">
        <v>100</v>
      </c>
      <c r="N502">
        <v>100</v>
      </c>
    </row>
    <row r="503" spans="1:14" x14ac:dyDescent="0.25">
      <c r="A503" s="8" t="s">
        <v>254</v>
      </c>
      <c r="B503" s="8" t="s">
        <v>1151</v>
      </c>
      <c r="C503" s="8" t="s">
        <v>254</v>
      </c>
      <c r="D503" s="8" t="s">
        <v>1950</v>
      </c>
      <c r="E503">
        <f t="shared" si="14"/>
        <v>4000000500</v>
      </c>
      <c r="F503">
        <v>4</v>
      </c>
      <c r="J503">
        <f t="shared" si="15"/>
        <v>20000000499</v>
      </c>
      <c r="K503">
        <v>500</v>
      </c>
      <c r="M503">
        <v>100</v>
      </c>
      <c r="N503">
        <v>100</v>
      </c>
    </row>
    <row r="504" spans="1:14" x14ac:dyDescent="0.25">
      <c r="A504" s="8" t="s">
        <v>254</v>
      </c>
      <c r="B504" s="8" t="s">
        <v>1152</v>
      </c>
      <c r="C504" s="8" t="s">
        <v>254</v>
      </c>
      <c r="D504" s="8" t="s">
        <v>1951</v>
      </c>
      <c r="E504">
        <f t="shared" si="14"/>
        <v>4000000501</v>
      </c>
      <c r="F504">
        <v>4</v>
      </c>
      <c r="J504">
        <f t="shared" si="15"/>
        <v>20000000500</v>
      </c>
      <c r="K504">
        <v>501</v>
      </c>
      <c r="M504">
        <v>100</v>
      </c>
      <c r="N504">
        <v>100</v>
      </c>
    </row>
    <row r="505" spans="1:14" x14ac:dyDescent="0.25">
      <c r="A505" s="8" t="s">
        <v>254</v>
      </c>
      <c r="B505" s="8" t="s">
        <v>1153</v>
      </c>
      <c r="C505" s="8" t="s">
        <v>254</v>
      </c>
      <c r="D505" s="8" t="s">
        <v>1952</v>
      </c>
      <c r="E505">
        <f t="shared" si="14"/>
        <v>4000000502</v>
      </c>
      <c r="F505">
        <v>4</v>
      </c>
      <c r="J505">
        <f t="shared" si="15"/>
        <v>20000000501</v>
      </c>
      <c r="K505">
        <v>502</v>
      </c>
      <c r="M505">
        <v>50</v>
      </c>
      <c r="N505">
        <v>50</v>
      </c>
    </row>
    <row r="506" spans="1:14" x14ac:dyDescent="0.25">
      <c r="A506" s="8" t="s">
        <v>254</v>
      </c>
      <c r="B506" s="8" t="s">
        <v>759</v>
      </c>
      <c r="C506" s="8" t="s">
        <v>254</v>
      </c>
      <c r="D506" s="8" t="s">
        <v>1953</v>
      </c>
      <c r="E506">
        <f t="shared" si="14"/>
        <v>4000000503</v>
      </c>
      <c r="F506">
        <v>4</v>
      </c>
      <c r="J506">
        <f t="shared" si="15"/>
        <v>20000000502</v>
      </c>
      <c r="K506">
        <v>503</v>
      </c>
      <c r="M506">
        <v>100</v>
      </c>
      <c r="N506">
        <v>100</v>
      </c>
    </row>
    <row r="507" spans="1:14" x14ac:dyDescent="0.25">
      <c r="A507" s="8" t="s">
        <v>254</v>
      </c>
      <c r="B507" s="8" t="s">
        <v>760</v>
      </c>
      <c r="C507" s="8" t="s">
        <v>254</v>
      </c>
      <c r="D507" s="8" t="s">
        <v>1954</v>
      </c>
      <c r="E507">
        <f t="shared" si="14"/>
        <v>4000000504</v>
      </c>
      <c r="F507">
        <v>4</v>
      </c>
      <c r="J507">
        <f t="shared" si="15"/>
        <v>20000000503</v>
      </c>
      <c r="K507">
        <v>504</v>
      </c>
      <c r="M507">
        <v>100</v>
      </c>
      <c r="N507">
        <v>100</v>
      </c>
    </row>
    <row r="508" spans="1:14" x14ac:dyDescent="0.25">
      <c r="A508" s="8" t="s">
        <v>254</v>
      </c>
      <c r="B508" s="8" t="s">
        <v>1154</v>
      </c>
      <c r="C508" s="8" t="s">
        <v>254</v>
      </c>
      <c r="D508" s="8" t="s">
        <v>1955</v>
      </c>
      <c r="E508">
        <f t="shared" si="14"/>
        <v>4000000505</v>
      </c>
      <c r="F508">
        <v>4</v>
      </c>
      <c r="J508">
        <f t="shared" si="15"/>
        <v>20000000504</v>
      </c>
      <c r="K508">
        <v>505</v>
      </c>
      <c r="M508">
        <v>50</v>
      </c>
      <c r="N508">
        <v>50</v>
      </c>
    </row>
    <row r="509" spans="1:14" x14ac:dyDescent="0.25">
      <c r="A509" s="8" t="s">
        <v>254</v>
      </c>
      <c r="B509" s="8" t="s">
        <v>1155</v>
      </c>
      <c r="C509" s="8" t="s">
        <v>254</v>
      </c>
      <c r="D509" s="8" t="s">
        <v>1956</v>
      </c>
      <c r="E509">
        <f t="shared" si="14"/>
        <v>4000000506</v>
      </c>
      <c r="F509">
        <v>4</v>
      </c>
      <c r="J509">
        <f t="shared" si="15"/>
        <v>20000000505</v>
      </c>
      <c r="K509">
        <v>506</v>
      </c>
      <c r="M509">
        <v>100</v>
      </c>
      <c r="N509">
        <v>100</v>
      </c>
    </row>
    <row r="510" spans="1:14" x14ac:dyDescent="0.25">
      <c r="A510" s="8" t="s">
        <v>254</v>
      </c>
      <c r="B510" s="8" t="s">
        <v>638</v>
      </c>
      <c r="C510" s="8" t="s">
        <v>254</v>
      </c>
      <c r="D510" s="8" t="s">
        <v>1957</v>
      </c>
      <c r="E510">
        <f t="shared" si="14"/>
        <v>4000000507</v>
      </c>
      <c r="F510">
        <v>4</v>
      </c>
      <c r="J510">
        <f t="shared" si="15"/>
        <v>20000000506</v>
      </c>
      <c r="K510">
        <v>507</v>
      </c>
    </row>
    <row r="511" spans="1:14" x14ac:dyDescent="0.25">
      <c r="A511" s="8" t="s">
        <v>254</v>
      </c>
      <c r="B511" s="8" t="s">
        <v>761</v>
      </c>
      <c r="C511" s="8" t="s">
        <v>254</v>
      </c>
      <c r="D511" s="8" t="s">
        <v>1958</v>
      </c>
      <c r="E511">
        <f t="shared" si="14"/>
        <v>4000000508</v>
      </c>
      <c r="F511">
        <v>4</v>
      </c>
      <c r="J511">
        <f t="shared" si="15"/>
        <v>20000000507</v>
      </c>
      <c r="K511">
        <v>508</v>
      </c>
    </row>
    <row r="512" spans="1:14" x14ac:dyDescent="0.25">
      <c r="A512" s="8" t="s">
        <v>254</v>
      </c>
      <c r="B512" s="8" t="s">
        <v>639</v>
      </c>
      <c r="C512" s="8" t="s">
        <v>254</v>
      </c>
      <c r="D512" s="8" t="s">
        <v>1959</v>
      </c>
      <c r="E512">
        <f t="shared" si="14"/>
        <v>4000000509</v>
      </c>
      <c r="F512">
        <v>4</v>
      </c>
      <c r="J512">
        <f t="shared" si="15"/>
        <v>20000000508</v>
      </c>
      <c r="K512">
        <v>509</v>
      </c>
    </row>
    <row r="513" spans="1:11" x14ac:dyDescent="0.25">
      <c r="A513" s="8" t="s">
        <v>254</v>
      </c>
      <c r="B513" s="8" t="s">
        <v>640</v>
      </c>
      <c r="C513" s="8" t="s">
        <v>254</v>
      </c>
      <c r="D513" s="8" t="s">
        <v>1960</v>
      </c>
      <c r="E513">
        <f t="shared" si="14"/>
        <v>4000000510</v>
      </c>
      <c r="F513">
        <v>4</v>
      </c>
      <c r="J513">
        <f t="shared" si="15"/>
        <v>20000000509</v>
      </c>
      <c r="K513">
        <v>510</v>
      </c>
    </row>
    <row r="514" spans="1:11" x14ac:dyDescent="0.25">
      <c r="A514" s="8" t="s">
        <v>254</v>
      </c>
      <c r="B514" s="8" t="s">
        <v>762</v>
      </c>
      <c r="C514" s="8" t="s">
        <v>254</v>
      </c>
      <c r="D514" s="8" t="s">
        <v>1961</v>
      </c>
      <c r="E514">
        <f t="shared" si="14"/>
        <v>4000000511</v>
      </c>
      <c r="F514">
        <v>4</v>
      </c>
      <c r="J514">
        <f t="shared" si="15"/>
        <v>20000000510</v>
      </c>
      <c r="K514">
        <v>511</v>
      </c>
    </row>
    <row r="515" spans="1:11" x14ac:dyDescent="0.25">
      <c r="A515" s="8" t="s">
        <v>254</v>
      </c>
      <c r="B515" s="8" t="s">
        <v>278</v>
      </c>
      <c r="C515" s="8" t="s">
        <v>254</v>
      </c>
      <c r="D515" s="8" t="s">
        <v>1962</v>
      </c>
      <c r="E515">
        <f t="shared" si="14"/>
        <v>4000000512</v>
      </c>
      <c r="F515">
        <v>4</v>
      </c>
      <c r="J515">
        <f t="shared" si="15"/>
        <v>20000000511</v>
      </c>
      <c r="K515">
        <v>512</v>
      </c>
    </row>
    <row r="516" spans="1:11" x14ac:dyDescent="0.25">
      <c r="A516" s="8" t="s">
        <v>254</v>
      </c>
      <c r="B516" s="8" t="s">
        <v>763</v>
      </c>
      <c r="C516" s="8" t="s">
        <v>254</v>
      </c>
      <c r="D516" s="8" t="s">
        <v>1963</v>
      </c>
      <c r="E516">
        <f t="shared" si="14"/>
        <v>4000000513</v>
      </c>
      <c r="F516">
        <v>4</v>
      </c>
      <c r="J516">
        <f t="shared" si="15"/>
        <v>20000000512</v>
      </c>
      <c r="K516">
        <v>513</v>
      </c>
    </row>
    <row r="517" spans="1:11" x14ac:dyDescent="0.25">
      <c r="A517" s="8" t="s">
        <v>254</v>
      </c>
      <c r="B517" s="8" t="s">
        <v>764</v>
      </c>
      <c r="C517" s="8" t="s">
        <v>254</v>
      </c>
      <c r="D517" s="8" t="s">
        <v>1964</v>
      </c>
      <c r="E517">
        <f t="shared" ref="E517:E580" si="16">IF(F517="",J517,IF(G517="",F517*$F$2+K517,IF(H517="",F517*$F$2+G517*$G$2+K517,IF(I517="",F517*$F$2+G517*$G$2+H517*$H$2+K517,F517*$F$2+G517*$G$2+H517*$H$2+I517*$I$2+K517))))</f>
        <v>4000000514</v>
      </c>
      <c r="F517">
        <v>4</v>
      </c>
      <c r="J517">
        <f t="shared" si="15"/>
        <v>20000000513</v>
      </c>
      <c r="K517">
        <v>514</v>
      </c>
    </row>
    <row r="518" spans="1:11" x14ac:dyDescent="0.25">
      <c r="A518" s="8" t="s">
        <v>254</v>
      </c>
      <c r="B518" s="8" t="s">
        <v>960</v>
      </c>
      <c r="C518" s="8" t="s">
        <v>254</v>
      </c>
      <c r="D518" s="8" t="s">
        <v>1965</v>
      </c>
      <c r="E518">
        <f t="shared" si="16"/>
        <v>4000000515</v>
      </c>
      <c r="F518">
        <v>4</v>
      </c>
      <c r="J518">
        <f t="shared" si="15"/>
        <v>20000000514</v>
      </c>
      <c r="K518">
        <v>515</v>
      </c>
    </row>
    <row r="519" spans="1:11" x14ac:dyDescent="0.25">
      <c r="A519" s="8" t="s">
        <v>254</v>
      </c>
      <c r="B519" s="8" t="s">
        <v>765</v>
      </c>
      <c r="C519" s="8" t="s">
        <v>254</v>
      </c>
      <c r="D519" s="8" t="s">
        <v>1966</v>
      </c>
      <c r="E519">
        <f t="shared" si="16"/>
        <v>4000000516</v>
      </c>
      <c r="F519">
        <v>4</v>
      </c>
      <c r="J519">
        <f t="shared" si="15"/>
        <v>20000000515</v>
      </c>
      <c r="K519">
        <v>516</v>
      </c>
    </row>
    <row r="520" spans="1:11" x14ac:dyDescent="0.25">
      <c r="A520" s="8" t="s">
        <v>254</v>
      </c>
      <c r="B520" s="8" t="s">
        <v>766</v>
      </c>
      <c r="C520" s="8" t="s">
        <v>254</v>
      </c>
      <c r="D520" s="8" t="s">
        <v>1967</v>
      </c>
      <c r="E520">
        <f t="shared" si="16"/>
        <v>4000000517</v>
      </c>
      <c r="F520">
        <v>4</v>
      </c>
      <c r="J520">
        <f t="shared" si="15"/>
        <v>20000000516</v>
      </c>
      <c r="K520">
        <v>517</v>
      </c>
    </row>
    <row r="521" spans="1:11" x14ac:dyDescent="0.25">
      <c r="A521" s="8" t="s">
        <v>254</v>
      </c>
      <c r="B521" s="8" t="s">
        <v>767</v>
      </c>
      <c r="C521" s="8" t="s">
        <v>254</v>
      </c>
      <c r="D521" s="8" t="s">
        <v>1968</v>
      </c>
      <c r="E521">
        <f t="shared" si="16"/>
        <v>4000000518</v>
      </c>
      <c r="F521">
        <v>4</v>
      </c>
      <c r="J521">
        <f t="shared" ref="J521:J584" si="17">J520+1</f>
        <v>20000000517</v>
      </c>
      <c r="K521">
        <v>518</v>
      </c>
    </row>
    <row r="522" spans="1:11" x14ac:dyDescent="0.25">
      <c r="A522" s="8" t="s">
        <v>254</v>
      </c>
      <c r="B522" s="8" t="s">
        <v>456</v>
      </c>
      <c r="C522" s="8" t="s">
        <v>254</v>
      </c>
      <c r="D522" s="8" t="s">
        <v>1969</v>
      </c>
      <c r="E522">
        <f t="shared" si="16"/>
        <v>4000000519</v>
      </c>
      <c r="F522">
        <v>4</v>
      </c>
      <c r="J522">
        <f t="shared" si="17"/>
        <v>20000000518</v>
      </c>
      <c r="K522">
        <v>519</v>
      </c>
    </row>
    <row r="523" spans="1:11" x14ac:dyDescent="0.25">
      <c r="A523" s="8" t="s">
        <v>254</v>
      </c>
      <c r="B523" s="8" t="s">
        <v>768</v>
      </c>
      <c r="C523" s="8" t="s">
        <v>254</v>
      </c>
      <c r="D523" s="8" t="s">
        <v>1970</v>
      </c>
      <c r="E523">
        <f t="shared" si="16"/>
        <v>4000000520</v>
      </c>
      <c r="F523">
        <v>4</v>
      </c>
      <c r="J523">
        <f t="shared" si="17"/>
        <v>20000000519</v>
      </c>
      <c r="K523">
        <v>520</v>
      </c>
    </row>
    <row r="524" spans="1:11" x14ac:dyDescent="0.25">
      <c r="A524" s="8" t="s">
        <v>254</v>
      </c>
      <c r="B524" s="8" t="s">
        <v>769</v>
      </c>
      <c r="C524" s="8" t="s">
        <v>254</v>
      </c>
      <c r="D524" s="8" t="s">
        <v>1971</v>
      </c>
      <c r="E524">
        <f t="shared" si="16"/>
        <v>4000000521</v>
      </c>
      <c r="F524">
        <v>4</v>
      </c>
      <c r="J524">
        <f t="shared" si="17"/>
        <v>20000000520</v>
      </c>
      <c r="K524">
        <v>521</v>
      </c>
    </row>
    <row r="525" spans="1:11" x14ac:dyDescent="0.25">
      <c r="A525" s="8" t="s">
        <v>254</v>
      </c>
      <c r="B525" s="8" t="s">
        <v>770</v>
      </c>
      <c r="C525" s="8" t="s">
        <v>254</v>
      </c>
      <c r="D525" s="8" t="s">
        <v>1972</v>
      </c>
      <c r="E525">
        <f t="shared" si="16"/>
        <v>4000000522</v>
      </c>
      <c r="F525">
        <v>4</v>
      </c>
      <c r="J525">
        <f t="shared" si="17"/>
        <v>20000000521</v>
      </c>
      <c r="K525">
        <v>522</v>
      </c>
    </row>
    <row r="526" spans="1:11" x14ac:dyDescent="0.25">
      <c r="A526" s="8" t="s">
        <v>254</v>
      </c>
      <c r="B526" s="8" t="s">
        <v>771</v>
      </c>
      <c r="C526" s="8" t="s">
        <v>254</v>
      </c>
      <c r="D526" s="8" t="s">
        <v>1973</v>
      </c>
      <c r="E526">
        <f t="shared" si="16"/>
        <v>4000000523</v>
      </c>
      <c r="F526">
        <v>4</v>
      </c>
      <c r="J526">
        <f t="shared" si="17"/>
        <v>20000000522</v>
      </c>
      <c r="K526">
        <v>523</v>
      </c>
    </row>
    <row r="527" spans="1:11" x14ac:dyDescent="0.25">
      <c r="A527" s="8" t="s">
        <v>254</v>
      </c>
      <c r="B527" s="8" t="s">
        <v>772</v>
      </c>
      <c r="C527" s="8" t="s">
        <v>254</v>
      </c>
      <c r="D527" s="8" t="s">
        <v>1974</v>
      </c>
      <c r="E527">
        <f t="shared" si="16"/>
        <v>4000000524</v>
      </c>
      <c r="F527">
        <v>4</v>
      </c>
      <c r="J527">
        <f t="shared" si="17"/>
        <v>20000000523</v>
      </c>
      <c r="K527">
        <v>524</v>
      </c>
    </row>
    <row r="528" spans="1:11" x14ac:dyDescent="0.25">
      <c r="A528" s="8" t="s">
        <v>254</v>
      </c>
      <c r="B528" s="8" t="s">
        <v>773</v>
      </c>
      <c r="C528" s="8" t="s">
        <v>254</v>
      </c>
      <c r="D528" s="8" t="s">
        <v>1975</v>
      </c>
      <c r="E528">
        <f t="shared" si="16"/>
        <v>4000000525</v>
      </c>
      <c r="F528">
        <v>4</v>
      </c>
      <c r="J528">
        <f t="shared" si="17"/>
        <v>20000000524</v>
      </c>
      <c r="K528">
        <v>525</v>
      </c>
    </row>
    <row r="529" spans="1:11" x14ac:dyDescent="0.25">
      <c r="A529" s="8" t="s">
        <v>254</v>
      </c>
      <c r="B529" s="8" t="s">
        <v>774</v>
      </c>
      <c r="C529" s="8" t="s">
        <v>254</v>
      </c>
      <c r="D529" s="8" t="s">
        <v>1976</v>
      </c>
      <c r="E529">
        <f t="shared" si="16"/>
        <v>1000000526</v>
      </c>
      <c r="F529">
        <v>1</v>
      </c>
      <c r="J529">
        <f t="shared" si="17"/>
        <v>20000000525</v>
      </c>
      <c r="K529">
        <v>526</v>
      </c>
    </row>
    <row r="530" spans="1:11" x14ac:dyDescent="0.25">
      <c r="A530" s="8" t="s">
        <v>254</v>
      </c>
      <c r="B530" s="8" t="s">
        <v>775</v>
      </c>
      <c r="C530" s="8" t="s">
        <v>254</v>
      </c>
      <c r="D530" s="8" t="s">
        <v>1977</v>
      </c>
      <c r="E530">
        <f t="shared" si="16"/>
        <v>1000000527</v>
      </c>
      <c r="F530">
        <v>1</v>
      </c>
      <c r="J530">
        <f t="shared" si="17"/>
        <v>20000000526</v>
      </c>
      <c r="K530">
        <v>527</v>
      </c>
    </row>
    <row r="531" spans="1:11" x14ac:dyDescent="0.25">
      <c r="A531" s="8" t="s">
        <v>254</v>
      </c>
      <c r="B531" s="8" t="s">
        <v>776</v>
      </c>
      <c r="C531" s="8" t="s">
        <v>254</v>
      </c>
      <c r="D531" s="8" t="s">
        <v>1978</v>
      </c>
      <c r="E531">
        <f t="shared" si="16"/>
        <v>4000000528</v>
      </c>
      <c r="F531">
        <v>4</v>
      </c>
      <c r="J531">
        <f t="shared" si="17"/>
        <v>20000000527</v>
      </c>
      <c r="K531">
        <v>528</v>
      </c>
    </row>
    <row r="532" spans="1:11" x14ac:dyDescent="0.25">
      <c r="A532" s="8" t="s">
        <v>254</v>
      </c>
      <c r="B532" s="8" t="s">
        <v>777</v>
      </c>
      <c r="C532" s="8" t="s">
        <v>254</v>
      </c>
      <c r="D532" s="8" t="s">
        <v>1979</v>
      </c>
      <c r="E532">
        <f t="shared" si="16"/>
        <v>4000000529</v>
      </c>
      <c r="F532">
        <v>4</v>
      </c>
      <c r="J532">
        <f t="shared" si="17"/>
        <v>20000000528</v>
      </c>
      <c r="K532">
        <v>529</v>
      </c>
    </row>
    <row r="533" spans="1:11" x14ac:dyDescent="0.25">
      <c r="A533" s="8" t="s">
        <v>254</v>
      </c>
      <c r="B533" s="8" t="s">
        <v>778</v>
      </c>
      <c r="C533" s="8" t="s">
        <v>254</v>
      </c>
      <c r="D533" s="8" t="s">
        <v>1980</v>
      </c>
      <c r="E533">
        <f t="shared" si="16"/>
        <v>4000000530</v>
      </c>
      <c r="F533">
        <v>4</v>
      </c>
      <c r="J533">
        <f t="shared" si="17"/>
        <v>20000000529</v>
      </c>
      <c r="K533">
        <v>530</v>
      </c>
    </row>
    <row r="534" spans="1:11" x14ac:dyDescent="0.25">
      <c r="A534" s="8" t="s">
        <v>254</v>
      </c>
      <c r="B534" s="8" t="s">
        <v>779</v>
      </c>
      <c r="C534" s="8" t="s">
        <v>254</v>
      </c>
      <c r="D534" s="8" t="s">
        <v>1981</v>
      </c>
      <c r="E534">
        <f t="shared" si="16"/>
        <v>4000000531</v>
      </c>
      <c r="F534">
        <v>4</v>
      </c>
      <c r="J534">
        <f t="shared" si="17"/>
        <v>20000000530</v>
      </c>
      <c r="K534">
        <v>531</v>
      </c>
    </row>
    <row r="535" spans="1:11" x14ac:dyDescent="0.25">
      <c r="A535" s="8" t="s">
        <v>254</v>
      </c>
      <c r="B535" s="8" t="s">
        <v>780</v>
      </c>
      <c r="C535" s="8" t="s">
        <v>254</v>
      </c>
      <c r="D535" s="8" t="s">
        <v>1982</v>
      </c>
      <c r="E535">
        <f t="shared" si="16"/>
        <v>4000000532</v>
      </c>
      <c r="F535">
        <v>4</v>
      </c>
      <c r="J535">
        <f t="shared" si="17"/>
        <v>20000000531</v>
      </c>
      <c r="K535">
        <v>532</v>
      </c>
    </row>
    <row r="536" spans="1:11" x14ac:dyDescent="0.25">
      <c r="A536" s="8" t="s">
        <v>254</v>
      </c>
      <c r="B536" s="8" t="s">
        <v>781</v>
      </c>
      <c r="C536" s="8" t="s">
        <v>254</v>
      </c>
      <c r="D536" s="8" t="s">
        <v>1983</v>
      </c>
      <c r="E536">
        <f t="shared" si="16"/>
        <v>4000000533</v>
      </c>
      <c r="F536">
        <v>4</v>
      </c>
      <c r="J536">
        <f t="shared" si="17"/>
        <v>20000000532</v>
      </c>
      <c r="K536">
        <v>533</v>
      </c>
    </row>
    <row r="537" spans="1:11" x14ac:dyDescent="0.25">
      <c r="A537" s="8" t="s">
        <v>254</v>
      </c>
      <c r="B537" s="8" t="s">
        <v>782</v>
      </c>
      <c r="C537" s="8" t="s">
        <v>254</v>
      </c>
      <c r="D537" s="8" t="s">
        <v>1984</v>
      </c>
      <c r="E537">
        <f t="shared" si="16"/>
        <v>4000000534</v>
      </c>
      <c r="F537">
        <v>4</v>
      </c>
      <c r="J537">
        <f t="shared" si="17"/>
        <v>20000000533</v>
      </c>
      <c r="K537">
        <v>534</v>
      </c>
    </row>
    <row r="538" spans="1:11" x14ac:dyDescent="0.25">
      <c r="A538" s="8" t="s">
        <v>254</v>
      </c>
      <c r="B538" s="8" t="s">
        <v>783</v>
      </c>
      <c r="C538" s="8" t="s">
        <v>254</v>
      </c>
      <c r="D538" s="8" t="s">
        <v>1985</v>
      </c>
      <c r="E538">
        <f t="shared" si="16"/>
        <v>4000000535</v>
      </c>
      <c r="F538">
        <v>4</v>
      </c>
      <c r="J538">
        <f t="shared" si="17"/>
        <v>20000000534</v>
      </c>
      <c r="K538">
        <v>535</v>
      </c>
    </row>
    <row r="539" spans="1:11" x14ac:dyDescent="0.25">
      <c r="A539" s="8" t="s">
        <v>254</v>
      </c>
      <c r="B539" s="8" t="s">
        <v>784</v>
      </c>
      <c r="C539" s="8" t="s">
        <v>254</v>
      </c>
      <c r="D539" s="8" t="s">
        <v>1986</v>
      </c>
      <c r="E539">
        <f t="shared" si="16"/>
        <v>4000000536</v>
      </c>
      <c r="F539">
        <v>4</v>
      </c>
      <c r="J539">
        <f t="shared" si="17"/>
        <v>20000000535</v>
      </c>
      <c r="K539">
        <v>536</v>
      </c>
    </row>
    <row r="540" spans="1:11" x14ac:dyDescent="0.25">
      <c r="A540" s="8" t="s">
        <v>254</v>
      </c>
      <c r="B540" s="8" t="s">
        <v>457</v>
      </c>
      <c r="C540" s="8" t="s">
        <v>254</v>
      </c>
      <c r="D540" s="8" t="s">
        <v>1987</v>
      </c>
      <c r="E540">
        <f t="shared" si="16"/>
        <v>4000000537</v>
      </c>
      <c r="F540">
        <v>4</v>
      </c>
      <c r="J540">
        <f t="shared" si="17"/>
        <v>20000000536</v>
      </c>
      <c r="K540">
        <v>537</v>
      </c>
    </row>
    <row r="541" spans="1:11" x14ac:dyDescent="0.25">
      <c r="A541" s="8" t="s">
        <v>254</v>
      </c>
      <c r="B541" s="8" t="s">
        <v>279</v>
      </c>
      <c r="C541" s="8" t="s">
        <v>254</v>
      </c>
      <c r="D541" s="8" t="s">
        <v>1988</v>
      </c>
      <c r="E541">
        <f t="shared" si="16"/>
        <v>4000000538</v>
      </c>
      <c r="F541">
        <v>4</v>
      </c>
      <c r="J541">
        <f t="shared" si="17"/>
        <v>20000000537</v>
      </c>
      <c r="K541">
        <v>538</v>
      </c>
    </row>
    <row r="542" spans="1:11" x14ac:dyDescent="0.25">
      <c r="A542" s="8" t="s">
        <v>254</v>
      </c>
      <c r="B542" s="8" t="s">
        <v>280</v>
      </c>
      <c r="C542" s="8" t="s">
        <v>254</v>
      </c>
      <c r="D542" s="8" t="s">
        <v>1989</v>
      </c>
      <c r="E542">
        <f t="shared" si="16"/>
        <v>4000000539</v>
      </c>
      <c r="F542">
        <v>4</v>
      </c>
      <c r="J542">
        <f t="shared" si="17"/>
        <v>20000000538</v>
      </c>
      <c r="K542">
        <v>539</v>
      </c>
    </row>
    <row r="543" spans="1:11" x14ac:dyDescent="0.25">
      <c r="A543" s="8" t="s">
        <v>254</v>
      </c>
      <c r="B543" s="8" t="s">
        <v>281</v>
      </c>
      <c r="C543" s="8" t="s">
        <v>254</v>
      </c>
      <c r="D543" s="8" t="s">
        <v>1990</v>
      </c>
      <c r="E543">
        <f t="shared" si="16"/>
        <v>4000000540</v>
      </c>
      <c r="F543">
        <v>4</v>
      </c>
      <c r="J543">
        <f t="shared" si="17"/>
        <v>20000000539</v>
      </c>
      <c r="K543">
        <v>540</v>
      </c>
    </row>
    <row r="544" spans="1:11" x14ac:dyDescent="0.25">
      <c r="A544" s="8" t="s">
        <v>254</v>
      </c>
      <c r="B544" s="8" t="s">
        <v>282</v>
      </c>
      <c r="C544" s="8" t="s">
        <v>254</v>
      </c>
      <c r="D544" s="8" t="s">
        <v>1991</v>
      </c>
      <c r="E544">
        <f t="shared" si="16"/>
        <v>4000000541</v>
      </c>
      <c r="F544">
        <v>4</v>
      </c>
      <c r="J544">
        <f t="shared" si="17"/>
        <v>20000000540</v>
      </c>
      <c r="K544">
        <v>541</v>
      </c>
    </row>
    <row r="545" spans="1:11" x14ac:dyDescent="0.25">
      <c r="A545" s="8" t="s">
        <v>254</v>
      </c>
      <c r="B545" s="8" t="s">
        <v>30</v>
      </c>
      <c r="C545" s="8" t="s">
        <v>254</v>
      </c>
      <c r="D545" s="8" t="s">
        <v>1992</v>
      </c>
      <c r="E545">
        <f t="shared" si="16"/>
        <v>4000000542</v>
      </c>
      <c r="F545">
        <v>4</v>
      </c>
      <c r="J545">
        <f t="shared" si="17"/>
        <v>20000000541</v>
      </c>
      <c r="K545">
        <v>542</v>
      </c>
    </row>
    <row r="546" spans="1:11" x14ac:dyDescent="0.25">
      <c r="A546" s="8" t="s">
        <v>254</v>
      </c>
      <c r="B546" s="8" t="s">
        <v>674</v>
      </c>
      <c r="C546" s="8" t="s">
        <v>254</v>
      </c>
      <c r="D546" s="8" t="s">
        <v>1993</v>
      </c>
      <c r="E546">
        <f t="shared" si="16"/>
        <v>4000000543</v>
      </c>
      <c r="F546">
        <v>4</v>
      </c>
      <c r="J546">
        <f t="shared" si="17"/>
        <v>20000000542</v>
      </c>
      <c r="K546">
        <v>543</v>
      </c>
    </row>
    <row r="547" spans="1:11" x14ac:dyDescent="0.25">
      <c r="A547" s="8" t="s">
        <v>254</v>
      </c>
      <c r="B547" s="8" t="s">
        <v>961</v>
      </c>
      <c r="C547" s="8" t="s">
        <v>254</v>
      </c>
      <c r="D547" s="8" t="s">
        <v>1994</v>
      </c>
      <c r="E547">
        <f t="shared" si="16"/>
        <v>4000000544</v>
      </c>
      <c r="F547">
        <v>4</v>
      </c>
      <c r="J547">
        <f t="shared" si="17"/>
        <v>20000000543</v>
      </c>
      <c r="K547">
        <v>544</v>
      </c>
    </row>
    <row r="548" spans="1:11" x14ac:dyDescent="0.25">
      <c r="A548" s="8" t="s">
        <v>254</v>
      </c>
      <c r="B548" s="8" t="s">
        <v>283</v>
      </c>
      <c r="C548" s="8" t="s">
        <v>254</v>
      </c>
      <c r="D548" s="8" t="s">
        <v>1995</v>
      </c>
      <c r="E548">
        <f t="shared" si="16"/>
        <v>4000000545</v>
      </c>
      <c r="F548">
        <v>4</v>
      </c>
      <c r="J548">
        <f t="shared" si="17"/>
        <v>20000000544</v>
      </c>
      <c r="K548">
        <v>545</v>
      </c>
    </row>
    <row r="549" spans="1:11" x14ac:dyDescent="0.25">
      <c r="A549" s="8" t="s">
        <v>254</v>
      </c>
      <c r="B549" s="8" t="s">
        <v>284</v>
      </c>
      <c r="C549" s="8" t="s">
        <v>254</v>
      </c>
      <c r="D549" s="8" t="s">
        <v>1996</v>
      </c>
      <c r="E549">
        <f t="shared" si="16"/>
        <v>4000000546</v>
      </c>
      <c r="F549">
        <v>4</v>
      </c>
      <c r="J549">
        <f t="shared" si="17"/>
        <v>20000000545</v>
      </c>
      <c r="K549">
        <v>546</v>
      </c>
    </row>
    <row r="550" spans="1:11" x14ac:dyDescent="0.25">
      <c r="A550" s="8" t="s">
        <v>254</v>
      </c>
      <c r="B550" s="8" t="s">
        <v>29</v>
      </c>
      <c r="C550" s="8" t="s">
        <v>254</v>
      </c>
      <c r="D550" s="8" t="s">
        <v>1997</v>
      </c>
      <c r="E550">
        <f t="shared" si="16"/>
        <v>4000000547</v>
      </c>
      <c r="F550">
        <v>4</v>
      </c>
      <c r="J550">
        <f t="shared" si="17"/>
        <v>20000000546</v>
      </c>
      <c r="K550">
        <v>547</v>
      </c>
    </row>
    <row r="551" spans="1:11" x14ac:dyDescent="0.25">
      <c r="A551" s="8" t="s">
        <v>254</v>
      </c>
      <c r="B551" s="8" t="s">
        <v>285</v>
      </c>
      <c r="C551" s="8" t="s">
        <v>254</v>
      </c>
      <c r="D551" s="8" t="s">
        <v>1998</v>
      </c>
      <c r="E551">
        <f t="shared" si="16"/>
        <v>4000000548</v>
      </c>
      <c r="F551">
        <v>4</v>
      </c>
      <c r="J551">
        <f t="shared" si="17"/>
        <v>20000000547</v>
      </c>
      <c r="K551">
        <v>548</v>
      </c>
    </row>
    <row r="552" spans="1:11" x14ac:dyDescent="0.25">
      <c r="A552" s="8" t="s">
        <v>254</v>
      </c>
      <c r="B552" s="8" t="s">
        <v>286</v>
      </c>
      <c r="C552" s="8" t="s">
        <v>254</v>
      </c>
      <c r="D552" s="8" t="s">
        <v>1999</v>
      </c>
      <c r="E552">
        <f t="shared" si="16"/>
        <v>4000000549</v>
      </c>
      <c r="F552">
        <v>4</v>
      </c>
      <c r="J552">
        <f t="shared" si="17"/>
        <v>20000000548</v>
      </c>
      <c r="K552">
        <v>549</v>
      </c>
    </row>
    <row r="553" spans="1:11" x14ac:dyDescent="0.25">
      <c r="A553" s="8" t="s">
        <v>254</v>
      </c>
      <c r="B553" s="8" t="s">
        <v>287</v>
      </c>
      <c r="C553" s="8" t="s">
        <v>254</v>
      </c>
      <c r="D553" s="8" t="s">
        <v>2000</v>
      </c>
      <c r="E553">
        <f t="shared" si="16"/>
        <v>4000000550</v>
      </c>
      <c r="F553">
        <v>4</v>
      </c>
      <c r="J553">
        <f t="shared" si="17"/>
        <v>20000000549</v>
      </c>
      <c r="K553">
        <v>550</v>
      </c>
    </row>
    <row r="554" spans="1:11" x14ac:dyDescent="0.25">
      <c r="A554" s="8" t="s">
        <v>254</v>
      </c>
      <c r="B554" s="8" t="s">
        <v>288</v>
      </c>
      <c r="C554" s="8" t="s">
        <v>254</v>
      </c>
      <c r="D554" s="8" t="s">
        <v>2001</v>
      </c>
      <c r="E554">
        <f t="shared" si="16"/>
        <v>4000000551</v>
      </c>
      <c r="F554">
        <v>4</v>
      </c>
      <c r="J554">
        <f t="shared" si="17"/>
        <v>20000000550</v>
      </c>
      <c r="K554">
        <v>551</v>
      </c>
    </row>
    <row r="555" spans="1:11" x14ac:dyDescent="0.25">
      <c r="A555" s="8" t="s">
        <v>254</v>
      </c>
      <c r="B555" s="8" t="s">
        <v>289</v>
      </c>
      <c r="C555" s="8" t="s">
        <v>254</v>
      </c>
      <c r="D555" s="8" t="s">
        <v>2002</v>
      </c>
      <c r="E555">
        <f t="shared" si="16"/>
        <v>4000000552</v>
      </c>
      <c r="F555">
        <v>4</v>
      </c>
      <c r="J555">
        <f t="shared" si="17"/>
        <v>20000000551</v>
      </c>
      <c r="K555">
        <v>552</v>
      </c>
    </row>
    <row r="556" spans="1:11" x14ac:dyDescent="0.25">
      <c r="A556" s="8" t="s">
        <v>254</v>
      </c>
      <c r="B556" s="8" t="s">
        <v>290</v>
      </c>
      <c r="C556" s="8" t="s">
        <v>254</v>
      </c>
      <c r="D556" s="8" t="s">
        <v>2003</v>
      </c>
      <c r="E556">
        <f t="shared" si="16"/>
        <v>1000000553</v>
      </c>
      <c r="F556">
        <v>1</v>
      </c>
      <c r="J556">
        <f t="shared" si="17"/>
        <v>20000000552</v>
      </c>
      <c r="K556">
        <v>553</v>
      </c>
    </row>
    <row r="557" spans="1:11" x14ac:dyDescent="0.25">
      <c r="A557" s="8" t="s">
        <v>254</v>
      </c>
      <c r="B557" s="8" t="s">
        <v>291</v>
      </c>
      <c r="C557" s="8" t="s">
        <v>254</v>
      </c>
      <c r="D557" s="8" t="s">
        <v>2004</v>
      </c>
      <c r="E557">
        <f t="shared" si="16"/>
        <v>4000000554</v>
      </c>
      <c r="F557">
        <v>4</v>
      </c>
      <c r="J557">
        <f t="shared" si="17"/>
        <v>20000000553</v>
      </c>
      <c r="K557">
        <v>554</v>
      </c>
    </row>
    <row r="558" spans="1:11" x14ac:dyDescent="0.25">
      <c r="A558" s="8" t="s">
        <v>254</v>
      </c>
      <c r="B558" s="8" t="s">
        <v>16</v>
      </c>
      <c r="C558" s="8" t="s">
        <v>254</v>
      </c>
      <c r="D558" s="8" t="s">
        <v>2005</v>
      </c>
      <c r="E558">
        <f t="shared" si="16"/>
        <v>1000000555</v>
      </c>
      <c r="F558">
        <v>1</v>
      </c>
      <c r="J558">
        <f t="shared" si="17"/>
        <v>20000000554</v>
      </c>
      <c r="K558">
        <v>555</v>
      </c>
    </row>
    <row r="559" spans="1:11" x14ac:dyDescent="0.25">
      <c r="A559" s="8" t="s">
        <v>254</v>
      </c>
      <c r="B559" s="8" t="s">
        <v>292</v>
      </c>
      <c r="C559" s="8" t="s">
        <v>254</v>
      </c>
      <c r="D559" s="8" t="s">
        <v>2006</v>
      </c>
      <c r="E559">
        <f t="shared" si="16"/>
        <v>1000000556</v>
      </c>
      <c r="F559">
        <v>1</v>
      </c>
      <c r="J559">
        <f t="shared" si="17"/>
        <v>20000000555</v>
      </c>
      <c r="K559">
        <v>556</v>
      </c>
    </row>
    <row r="560" spans="1:11" x14ac:dyDescent="0.25">
      <c r="A560" s="8" t="s">
        <v>254</v>
      </c>
      <c r="B560" s="8" t="s">
        <v>293</v>
      </c>
      <c r="C560" s="8" t="s">
        <v>254</v>
      </c>
      <c r="D560" s="8" t="s">
        <v>2007</v>
      </c>
      <c r="E560">
        <f t="shared" si="16"/>
        <v>4000000557</v>
      </c>
      <c r="F560">
        <v>4</v>
      </c>
      <c r="J560">
        <f t="shared" si="17"/>
        <v>20000000556</v>
      </c>
      <c r="K560">
        <v>557</v>
      </c>
    </row>
    <row r="561" spans="1:11" x14ac:dyDescent="0.25">
      <c r="A561" s="8" t="s">
        <v>254</v>
      </c>
      <c r="B561" s="8" t="s">
        <v>294</v>
      </c>
      <c r="C561" s="8" t="s">
        <v>254</v>
      </c>
      <c r="D561" s="8" t="s">
        <v>2008</v>
      </c>
      <c r="E561">
        <f t="shared" si="16"/>
        <v>1000000558</v>
      </c>
      <c r="F561">
        <v>1</v>
      </c>
      <c r="J561">
        <f t="shared" si="17"/>
        <v>20000000557</v>
      </c>
      <c r="K561">
        <v>558</v>
      </c>
    </row>
    <row r="562" spans="1:11" x14ac:dyDescent="0.25">
      <c r="A562" s="8" t="s">
        <v>254</v>
      </c>
      <c r="B562" s="8" t="s">
        <v>295</v>
      </c>
      <c r="C562" s="8" t="s">
        <v>254</v>
      </c>
      <c r="D562" s="8" t="s">
        <v>2009</v>
      </c>
      <c r="E562">
        <f t="shared" si="16"/>
        <v>1000000559</v>
      </c>
      <c r="F562">
        <v>1</v>
      </c>
      <c r="J562">
        <f t="shared" si="17"/>
        <v>20000000558</v>
      </c>
      <c r="K562">
        <v>559</v>
      </c>
    </row>
    <row r="563" spans="1:11" x14ac:dyDescent="0.25">
      <c r="A563" s="8" t="s">
        <v>254</v>
      </c>
      <c r="B563" s="8" t="s">
        <v>296</v>
      </c>
      <c r="C563" s="8" t="s">
        <v>254</v>
      </c>
      <c r="D563" s="8" t="s">
        <v>2010</v>
      </c>
      <c r="E563">
        <f t="shared" si="16"/>
        <v>1000000560</v>
      </c>
      <c r="F563">
        <v>1</v>
      </c>
      <c r="J563">
        <f t="shared" si="17"/>
        <v>20000000559</v>
      </c>
      <c r="K563">
        <v>560</v>
      </c>
    </row>
    <row r="564" spans="1:11" x14ac:dyDescent="0.25">
      <c r="A564" s="8" t="s">
        <v>254</v>
      </c>
      <c r="B564" s="8" t="s">
        <v>297</v>
      </c>
      <c r="C564" s="8" t="s">
        <v>254</v>
      </c>
      <c r="D564" s="8" t="s">
        <v>2011</v>
      </c>
      <c r="E564">
        <f t="shared" si="16"/>
        <v>1000000561</v>
      </c>
      <c r="F564">
        <v>1</v>
      </c>
      <c r="J564">
        <f t="shared" si="17"/>
        <v>20000000560</v>
      </c>
      <c r="K564">
        <v>561</v>
      </c>
    </row>
    <row r="565" spans="1:11" x14ac:dyDescent="0.25">
      <c r="A565" s="8" t="s">
        <v>254</v>
      </c>
      <c r="B565" s="8" t="s">
        <v>298</v>
      </c>
      <c r="C565" s="8" t="s">
        <v>254</v>
      </c>
      <c r="D565" s="8" t="s">
        <v>2007</v>
      </c>
      <c r="E565">
        <f t="shared" si="16"/>
        <v>4000000562</v>
      </c>
      <c r="F565">
        <v>4</v>
      </c>
      <c r="J565">
        <f t="shared" si="17"/>
        <v>20000000561</v>
      </c>
      <c r="K565">
        <v>562</v>
      </c>
    </row>
    <row r="566" spans="1:11" x14ac:dyDescent="0.25">
      <c r="A566" s="8" t="s">
        <v>254</v>
      </c>
      <c r="B566" s="8" t="s">
        <v>299</v>
      </c>
      <c r="C566" s="8" t="s">
        <v>254</v>
      </c>
      <c r="D566" s="8" t="s">
        <v>2012</v>
      </c>
      <c r="E566">
        <f t="shared" si="16"/>
        <v>1000000563</v>
      </c>
      <c r="F566">
        <v>1</v>
      </c>
      <c r="J566">
        <f t="shared" si="17"/>
        <v>20000000562</v>
      </c>
      <c r="K566">
        <v>563</v>
      </c>
    </row>
    <row r="567" spans="1:11" x14ac:dyDescent="0.25">
      <c r="A567" s="8" t="s">
        <v>254</v>
      </c>
      <c r="B567" s="8" t="s">
        <v>300</v>
      </c>
      <c r="C567" s="8" t="s">
        <v>254</v>
      </c>
      <c r="D567" s="8" t="s">
        <v>2013</v>
      </c>
      <c r="E567">
        <f t="shared" si="16"/>
        <v>1000000564</v>
      </c>
      <c r="F567">
        <v>1</v>
      </c>
      <c r="J567">
        <f t="shared" si="17"/>
        <v>20000000563</v>
      </c>
      <c r="K567">
        <v>564</v>
      </c>
    </row>
    <row r="568" spans="1:11" x14ac:dyDescent="0.25">
      <c r="A568" s="8" t="s">
        <v>254</v>
      </c>
      <c r="B568" s="8" t="s">
        <v>301</v>
      </c>
      <c r="C568" s="8" t="s">
        <v>254</v>
      </c>
      <c r="D568" s="8" t="s">
        <v>2007</v>
      </c>
      <c r="E568">
        <f t="shared" si="16"/>
        <v>4000000565</v>
      </c>
      <c r="F568">
        <v>4</v>
      </c>
      <c r="J568">
        <f t="shared" si="17"/>
        <v>20000000564</v>
      </c>
      <c r="K568">
        <v>565</v>
      </c>
    </row>
    <row r="569" spans="1:11" x14ac:dyDescent="0.25">
      <c r="A569" s="8" t="s">
        <v>254</v>
      </c>
      <c r="B569" s="8" t="s">
        <v>302</v>
      </c>
      <c r="C569" s="8" t="s">
        <v>254</v>
      </c>
      <c r="D569" s="8" t="s">
        <v>2014</v>
      </c>
      <c r="E569">
        <f t="shared" si="16"/>
        <v>4000000566</v>
      </c>
      <c r="F569">
        <v>4</v>
      </c>
      <c r="J569">
        <f t="shared" si="17"/>
        <v>20000000565</v>
      </c>
      <c r="K569">
        <v>566</v>
      </c>
    </row>
    <row r="570" spans="1:11" x14ac:dyDescent="0.25">
      <c r="A570" s="8" t="s">
        <v>254</v>
      </c>
      <c r="B570" s="8" t="s">
        <v>641</v>
      </c>
      <c r="C570" s="8" t="s">
        <v>254</v>
      </c>
      <c r="D570" s="8" t="s">
        <v>2015</v>
      </c>
      <c r="E570">
        <f t="shared" si="16"/>
        <v>4000000567</v>
      </c>
      <c r="F570">
        <v>4</v>
      </c>
      <c r="J570">
        <f t="shared" si="17"/>
        <v>20000000566</v>
      </c>
      <c r="K570">
        <v>567</v>
      </c>
    </row>
    <row r="571" spans="1:11" x14ac:dyDescent="0.25">
      <c r="A571" s="8" t="s">
        <v>254</v>
      </c>
      <c r="B571" s="8" t="s">
        <v>642</v>
      </c>
      <c r="C571" s="8" t="s">
        <v>254</v>
      </c>
      <c r="D571" s="8" t="s">
        <v>2016</v>
      </c>
      <c r="E571">
        <f t="shared" si="16"/>
        <v>4000000568</v>
      </c>
      <c r="F571">
        <v>4</v>
      </c>
      <c r="J571">
        <f t="shared" si="17"/>
        <v>20000000567</v>
      </c>
      <c r="K571">
        <v>568</v>
      </c>
    </row>
    <row r="572" spans="1:11" x14ac:dyDescent="0.25">
      <c r="A572" s="8" t="s">
        <v>254</v>
      </c>
      <c r="B572" s="8" t="s">
        <v>785</v>
      </c>
      <c r="C572" s="8" t="s">
        <v>254</v>
      </c>
      <c r="D572" s="8" t="s">
        <v>2017</v>
      </c>
      <c r="E572">
        <f t="shared" si="16"/>
        <v>4000000569</v>
      </c>
      <c r="F572">
        <v>4</v>
      </c>
      <c r="J572">
        <f t="shared" si="17"/>
        <v>20000000568</v>
      </c>
      <c r="K572">
        <v>569</v>
      </c>
    </row>
    <row r="573" spans="1:11" x14ac:dyDescent="0.25">
      <c r="A573" s="8" t="s">
        <v>1018</v>
      </c>
      <c r="B573" s="8" t="s">
        <v>1156</v>
      </c>
      <c r="C573" s="8" t="s">
        <v>1018</v>
      </c>
      <c r="D573" s="8" t="s">
        <v>2018</v>
      </c>
      <c r="E573">
        <f t="shared" si="16"/>
        <v>4000000570</v>
      </c>
      <c r="F573">
        <v>4</v>
      </c>
      <c r="J573">
        <f t="shared" si="17"/>
        <v>20000000569</v>
      </c>
      <c r="K573">
        <v>570</v>
      </c>
    </row>
    <row r="574" spans="1:11" x14ac:dyDescent="0.25">
      <c r="A574" s="8" t="s">
        <v>311</v>
      </c>
      <c r="B574" s="8" t="s">
        <v>787</v>
      </c>
      <c r="C574" s="8" t="s">
        <v>311</v>
      </c>
      <c r="D574" s="8" t="s">
        <v>2019</v>
      </c>
      <c r="E574">
        <f t="shared" si="16"/>
        <v>4000000571</v>
      </c>
      <c r="F574">
        <v>4</v>
      </c>
      <c r="J574">
        <f t="shared" si="17"/>
        <v>20000000570</v>
      </c>
      <c r="K574">
        <v>571</v>
      </c>
    </row>
    <row r="575" spans="1:11" x14ac:dyDescent="0.25">
      <c r="A575" s="8" t="s">
        <v>311</v>
      </c>
      <c r="B575" s="8" t="s">
        <v>1157</v>
      </c>
      <c r="C575" s="8" t="s">
        <v>311</v>
      </c>
      <c r="D575" s="8" t="s">
        <v>2020</v>
      </c>
      <c r="E575">
        <f t="shared" si="16"/>
        <v>4000000572</v>
      </c>
      <c r="F575">
        <v>4</v>
      </c>
      <c r="J575">
        <f t="shared" si="17"/>
        <v>20000000571</v>
      </c>
      <c r="K575">
        <v>572</v>
      </c>
    </row>
    <row r="576" spans="1:11" x14ac:dyDescent="0.25">
      <c r="A576" s="8" t="s">
        <v>311</v>
      </c>
      <c r="B576" s="8" t="s">
        <v>963</v>
      </c>
      <c r="C576" s="8" t="s">
        <v>311</v>
      </c>
      <c r="D576" s="8" t="s">
        <v>2021</v>
      </c>
      <c r="E576">
        <f t="shared" si="16"/>
        <v>4000000573</v>
      </c>
      <c r="F576">
        <v>4</v>
      </c>
      <c r="J576">
        <f t="shared" si="17"/>
        <v>20000000572</v>
      </c>
      <c r="K576">
        <v>573</v>
      </c>
    </row>
    <row r="577" spans="1:11" x14ac:dyDescent="0.25">
      <c r="A577" s="8" t="s">
        <v>311</v>
      </c>
      <c r="B577" s="8" t="s">
        <v>964</v>
      </c>
      <c r="C577" s="8" t="s">
        <v>311</v>
      </c>
      <c r="D577" s="8" t="s">
        <v>2022</v>
      </c>
      <c r="E577">
        <f t="shared" si="16"/>
        <v>4000000574</v>
      </c>
      <c r="F577">
        <v>4</v>
      </c>
      <c r="J577">
        <f t="shared" si="17"/>
        <v>20000000573</v>
      </c>
      <c r="K577">
        <v>574</v>
      </c>
    </row>
    <row r="578" spans="1:11" x14ac:dyDescent="0.25">
      <c r="A578" s="8" t="s">
        <v>788</v>
      </c>
      <c r="B578" s="8">
        <v>11055</v>
      </c>
      <c r="C578" s="8" t="s">
        <v>788</v>
      </c>
      <c r="D578" s="8" t="s">
        <v>2023</v>
      </c>
      <c r="E578">
        <f t="shared" si="16"/>
        <v>6000000575</v>
      </c>
      <c r="F578">
        <v>6</v>
      </c>
      <c r="J578">
        <f t="shared" si="17"/>
        <v>20000000574</v>
      </c>
      <c r="K578">
        <v>575</v>
      </c>
    </row>
    <row r="579" spans="1:11" x14ac:dyDescent="0.25">
      <c r="A579" s="8" t="s">
        <v>788</v>
      </c>
      <c r="B579" s="8" t="s">
        <v>1158</v>
      </c>
      <c r="C579" s="8" t="s">
        <v>788</v>
      </c>
      <c r="D579" s="8" t="s">
        <v>2024</v>
      </c>
      <c r="E579">
        <f t="shared" si="16"/>
        <v>6000000576</v>
      </c>
      <c r="F579">
        <v>6</v>
      </c>
      <c r="J579">
        <f t="shared" si="17"/>
        <v>20000000575</v>
      </c>
      <c r="K579">
        <v>576</v>
      </c>
    </row>
    <row r="580" spans="1:11" x14ac:dyDescent="0.25">
      <c r="A580" s="8" t="s">
        <v>788</v>
      </c>
      <c r="B580" s="8">
        <v>31716</v>
      </c>
      <c r="C580" s="8" t="s">
        <v>788</v>
      </c>
      <c r="D580" s="8" t="s">
        <v>2025</v>
      </c>
      <c r="E580">
        <f t="shared" si="16"/>
        <v>6000000577</v>
      </c>
      <c r="F580">
        <v>6</v>
      </c>
      <c r="J580">
        <f t="shared" si="17"/>
        <v>20000000576</v>
      </c>
      <c r="K580">
        <v>577</v>
      </c>
    </row>
    <row r="581" spans="1:11" x14ac:dyDescent="0.25">
      <c r="A581" s="8" t="s">
        <v>788</v>
      </c>
      <c r="B581" s="8">
        <v>31731</v>
      </c>
      <c r="C581" s="8" t="s">
        <v>788</v>
      </c>
      <c r="D581" s="8" t="s">
        <v>2026</v>
      </c>
      <c r="E581">
        <f t="shared" ref="E581:E644" si="18">IF(F581="",J581,IF(G581="",F581*$F$2+K581,IF(H581="",F581*$F$2+G581*$G$2+K581,IF(I581="",F581*$F$2+G581*$G$2+H581*$H$2+K581,F581*$F$2+G581*$G$2+H581*$H$2+I581*$I$2+K581))))</f>
        <v>6000000578</v>
      </c>
      <c r="F581">
        <v>6</v>
      </c>
      <c r="J581">
        <f t="shared" si="17"/>
        <v>20000000577</v>
      </c>
      <c r="K581">
        <v>578</v>
      </c>
    </row>
    <row r="582" spans="1:11" x14ac:dyDescent="0.25">
      <c r="A582" s="8" t="s">
        <v>788</v>
      </c>
      <c r="B582" s="8">
        <v>31761</v>
      </c>
      <c r="C582" s="8" t="s">
        <v>788</v>
      </c>
      <c r="D582" s="8" t="s">
        <v>2026</v>
      </c>
      <c r="E582">
        <f t="shared" si="18"/>
        <v>6000000579</v>
      </c>
      <c r="F582">
        <v>6</v>
      </c>
      <c r="J582">
        <f t="shared" si="17"/>
        <v>20000000578</v>
      </c>
      <c r="K582">
        <v>579</v>
      </c>
    </row>
    <row r="583" spans="1:11" x14ac:dyDescent="0.25">
      <c r="A583" s="8" t="s">
        <v>788</v>
      </c>
      <c r="B583" s="8">
        <v>31852</v>
      </c>
      <c r="C583" s="8" t="s">
        <v>788</v>
      </c>
      <c r="D583" s="8" t="s">
        <v>2027</v>
      </c>
      <c r="E583">
        <f t="shared" si="18"/>
        <v>6000000580</v>
      </c>
      <c r="F583">
        <v>6</v>
      </c>
      <c r="J583">
        <f t="shared" si="17"/>
        <v>20000000579</v>
      </c>
      <c r="K583">
        <v>580</v>
      </c>
    </row>
    <row r="584" spans="1:11" x14ac:dyDescent="0.25">
      <c r="A584" s="8" t="s">
        <v>788</v>
      </c>
      <c r="B584" s="8">
        <v>32305</v>
      </c>
      <c r="C584" s="8" t="s">
        <v>788</v>
      </c>
      <c r="D584" s="8" t="s">
        <v>2028</v>
      </c>
      <c r="E584">
        <f t="shared" si="18"/>
        <v>6000000581</v>
      </c>
      <c r="F584">
        <v>6</v>
      </c>
      <c r="J584">
        <f t="shared" si="17"/>
        <v>20000000580</v>
      </c>
      <c r="K584">
        <v>581</v>
      </c>
    </row>
    <row r="585" spans="1:11" x14ac:dyDescent="0.25">
      <c r="A585" s="8" t="s">
        <v>788</v>
      </c>
      <c r="B585" s="8" t="s">
        <v>789</v>
      </c>
      <c r="C585" s="8" t="s">
        <v>788</v>
      </c>
      <c r="D585" s="8" t="s">
        <v>2029</v>
      </c>
      <c r="E585">
        <f t="shared" si="18"/>
        <v>6000000582</v>
      </c>
      <c r="F585">
        <v>6</v>
      </c>
      <c r="J585">
        <f t="shared" ref="J585:J648" si="19">J584+1</f>
        <v>20000000581</v>
      </c>
      <c r="K585">
        <v>582</v>
      </c>
    </row>
    <row r="586" spans="1:11" x14ac:dyDescent="0.25">
      <c r="A586" s="8" t="s">
        <v>788</v>
      </c>
      <c r="B586" s="8">
        <v>32759</v>
      </c>
      <c r="C586" s="8" t="s">
        <v>788</v>
      </c>
      <c r="D586" s="8" t="s">
        <v>2030</v>
      </c>
      <c r="E586">
        <f t="shared" si="18"/>
        <v>6000000583</v>
      </c>
      <c r="F586">
        <v>6</v>
      </c>
      <c r="J586">
        <f t="shared" si="19"/>
        <v>20000000582</v>
      </c>
      <c r="K586">
        <v>583</v>
      </c>
    </row>
    <row r="587" spans="1:11" x14ac:dyDescent="0.25">
      <c r="A587" s="8" t="s">
        <v>788</v>
      </c>
      <c r="B587" s="8" t="s">
        <v>790</v>
      </c>
      <c r="C587" s="8" t="s">
        <v>788</v>
      </c>
      <c r="D587" s="8" t="s">
        <v>2031</v>
      </c>
      <c r="E587">
        <f t="shared" si="18"/>
        <v>6000000584</v>
      </c>
      <c r="F587">
        <v>6</v>
      </c>
      <c r="J587">
        <f t="shared" si="19"/>
        <v>20000000583</v>
      </c>
      <c r="K587">
        <v>584</v>
      </c>
    </row>
    <row r="588" spans="1:11" x14ac:dyDescent="0.25">
      <c r="A588" s="8" t="s">
        <v>788</v>
      </c>
      <c r="B588" s="8">
        <v>32907</v>
      </c>
      <c r="C588" s="8" t="s">
        <v>788</v>
      </c>
      <c r="D588" s="8" t="s">
        <v>2032</v>
      </c>
      <c r="E588">
        <f t="shared" si="18"/>
        <v>6000000585</v>
      </c>
      <c r="F588">
        <v>6</v>
      </c>
      <c r="J588">
        <f t="shared" si="19"/>
        <v>20000000584</v>
      </c>
      <c r="K588">
        <v>585</v>
      </c>
    </row>
    <row r="589" spans="1:11" x14ac:dyDescent="0.25">
      <c r="A589" s="8" t="s">
        <v>788</v>
      </c>
      <c r="B589" s="8">
        <v>44131</v>
      </c>
      <c r="C589" s="8" t="s">
        <v>788</v>
      </c>
      <c r="D589" s="8" t="s">
        <v>2033</v>
      </c>
      <c r="E589">
        <f t="shared" si="18"/>
        <v>6000000586</v>
      </c>
      <c r="F589">
        <v>6</v>
      </c>
      <c r="J589">
        <f t="shared" si="19"/>
        <v>20000000585</v>
      </c>
      <c r="K589">
        <v>586</v>
      </c>
    </row>
    <row r="590" spans="1:11" x14ac:dyDescent="0.25">
      <c r="A590" s="8" t="s">
        <v>788</v>
      </c>
      <c r="B590" s="8">
        <v>44133</v>
      </c>
      <c r="C590" s="8" t="s">
        <v>788</v>
      </c>
      <c r="D590" s="8" t="s">
        <v>2034</v>
      </c>
      <c r="E590">
        <f t="shared" si="18"/>
        <v>6000000587</v>
      </c>
      <c r="F590">
        <v>6</v>
      </c>
      <c r="J590">
        <f t="shared" si="19"/>
        <v>20000000586</v>
      </c>
      <c r="K590">
        <v>587</v>
      </c>
    </row>
    <row r="591" spans="1:11" x14ac:dyDescent="0.25">
      <c r="A591" s="8" t="s">
        <v>788</v>
      </c>
      <c r="B591" s="8">
        <v>44218</v>
      </c>
      <c r="C591" s="8" t="s">
        <v>788</v>
      </c>
      <c r="D591" s="8" t="s">
        <v>2035</v>
      </c>
      <c r="E591">
        <f t="shared" si="18"/>
        <v>6000000588</v>
      </c>
      <c r="F591">
        <v>6</v>
      </c>
      <c r="J591">
        <f t="shared" si="19"/>
        <v>20000000587</v>
      </c>
      <c r="K591">
        <v>588</v>
      </c>
    </row>
    <row r="592" spans="1:11" x14ac:dyDescent="0.25">
      <c r="A592" s="8" t="s">
        <v>788</v>
      </c>
      <c r="B592" s="8">
        <v>44219</v>
      </c>
      <c r="C592" s="8" t="s">
        <v>788</v>
      </c>
      <c r="D592" s="8" t="s">
        <v>2036</v>
      </c>
      <c r="E592">
        <f t="shared" si="18"/>
        <v>6000000589</v>
      </c>
      <c r="F592">
        <v>6</v>
      </c>
      <c r="J592">
        <f t="shared" si="19"/>
        <v>20000000588</v>
      </c>
      <c r="K592">
        <v>589</v>
      </c>
    </row>
    <row r="593" spans="1:14" x14ac:dyDescent="0.25">
      <c r="A593" s="8" t="s">
        <v>788</v>
      </c>
      <c r="B593" s="8">
        <v>56040</v>
      </c>
      <c r="C593" s="8" t="s">
        <v>788</v>
      </c>
      <c r="D593" s="8" t="s">
        <v>2037</v>
      </c>
      <c r="E593">
        <f t="shared" si="18"/>
        <v>6000000590</v>
      </c>
      <c r="F593">
        <v>6</v>
      </c>
      <c r="J593">
        <f t="shared" si="19"/>
        <v>20000000589</v>
      </c>
      <c r="K593">
        <v>590</v>
      </c>
    </row>
    <row r="594" spans="1:14" x14ac:dyDescent="0.25">
      <c r="A594" s="8" t="s">
        <v>788</v>
      </c>
      <c r="B594" s="8">
        <v>56049</v>
      </c>
      <c r="C594" s="8" t="s">
        <v>788</v>
      </c>
      <c r="D594" s="8" t="s">
        <v>2038</v>
      </c>
      <c r="E594">
        <f t="shared" si="18"/>
        <v>6000000591</v>
      </c>
      <c r="F594">
        <v>6</v>
      </c>
      <c r="J594">
        <f t="shared" si="19"/>
        <v>20000000590</v>
      </c>
      <c r="K594">
        <v>591</v>
      </c>
    </row>
    <row r="595" spans="1:14" x14ac:dyDescent="0.25">
      <c r="A595" s="8" t="s">
        <v>788</v>
      </c>
      <c r="B595" s="8">
        <v>56064</v>
      </c>
      <c r="C595" s="8" t="s">
        <v>788</v>
      </c>
      <c r="D595" s="8" t="s">
        <v>2039</v>
      </c>
      <c r="E595">
        <f t="shared" si="18"/>
        <v>6000000592</v>
      </c>
      <c r="F595">
        <v>6</v>
      </c>
      <c r="J595">
        <f t="shared" si="19"/>
        <v>20000000591</v>
      </c>
      <c r="K595">
        <v>592</v>
      </c>
    </row>
    <row r="596" spans="1:14" x14ac:dyDescent="0.25">
      <c r="A596" s="8" t="s">
        <v>788</v>
      </c>
      <c r="B596" s="8">
        <v>56383</v>
      </c>
      <c r="C596" s="8" t="s">
        <v>788</v>
      </c>
      <c r="D596" s="8" t="s">
        <v>2040</v>
      </c>
      <c r="E596">
        <f t="shared" si="18"/>
        <v>6000000593</v>
      </c>
      <c r="F596">
        <v>6</v>
      </c>
      <c r="J596">
        <f t="shared" si="19"/>
        <v>20000000592</v>
      </c>
      <c r="K596">
        <v>593</v>
      </c>
    </row>
    <row r="597" spans="1:14" x14ac:dyDescent="0.25">
      <c r="A597" s="8" t="s">
        <v>788</v>
      </c>
      <c r="B597" s="8">
        <v>56403</v>
      </c>
      <c r="C597" s="8" t="s">
        <v>788</v>
      </c>
      <c r="D597" s="8" t="s">
        <v>2041</v>
      </c>
      <c r="E597">
        <f t="shared" si="18"/>
        <v>6000000594</v>
      </c>
      <c r="F597">
        <v>6</v>
      </c>
      <c r="J597">
        <f t="shared" si="19"/>
        <v>20000000593</v>
      </c>
      <c r="K597">
        <v>594</v>
      </c>
    </row>
    <row r="598" spans="1:14" x14ac:dyDescent="0.25">
      <c r="A598" s="8" t="s">
        <v>788</v>
      </c>
      <c r="B598" s="8">
        <v>63225</v>
      </c>
      <c r="C598" s="8" t="s">
        <v>788</v>
      </c>
      <c r="D598" s="8" t="s">
        <v>2042</v>
      </c>
      <c r="E598">
        <f t="shared" si="18"/>
        <v>6000000595</v>
      </c>
      <c r="F598">
        <v>6</v>
      </c>
      <c r="J598">
        <f t="shared" si="19"/>
        <v>20000000594</v>
      </c>
      <c r="K598">
        <v>595</v>
      </c>
    </row>
    <row r="599" spans="1:14" x14ac:dyDescent="0.25">
      <c r="A599" s="8" t="s">
        <v>788</v>
      </c>
      <c r="B599" s="8">
        <v>65200</v>
      </c>
      <c r="C599" s="8" t="s">
        <v>788</v>
      </c>
      <c r="D599" s="8" t="s">
        <v>2043</v>
      </c>
      <c r="E599">
        <f t="shared" si="18"/>
        <v>6000000596</v>
      </c>
      <c r="F599">
        <v>6</v>
      </c>
      <c r="J599">
        <f t="shared" si="19"/>
        <v>20000000595</v>
      </c>
      <c r="K599">
        <v>596</v>
      </c>
    </row>
    <row r="600" spans="1:14" x14ac:dyDescent="0.25">
      <c r="A600" s="8" t="s">
        <v>788</v>
      </c>
      <c r="B600" s="8">
        <v>666</v>
      </c>
      <c r="C600" s="8" t="s">
        <v>788</v>
      </c>
      <c r="D600" s="8" t="s">
        <v>2044</v>
      </c>
      <c r="E600">
        <f t="shared" si="18"/>
        <v>6000000597</v>
      </c>
      <c r="F600">
        <v>6</v>
      </c>
      <c r="J600">
        <f t="shared" si="19"/>
        <v>20000000596</v>
      </c>
      <c r="K600">
        <v>597</v>
      </c>
    </row>
    <row r="601" spans="1:14" x14ac:dyDescent="0.25">
      <c r="A601" s="8" t="s">
        <v>788</v>
      </c>
      <c r="B601" s="8">
        <v>70579</v>
      </c>
      <c r="C601" s="8" t="s">
        <v>788</v>
      </c>
      <c r="D601" s="8" t="s">
        <v>2045</v>
      </c>
      <c r="E601">
        <f t="shared" si="18"/>
        <v>6000000598</v>
      </c>
      <c r="F601">
        <v>6</v>
      </c>
      <c r="J601">
        <f t="shared" si="19"/>
        <v>20000000597</v>
      </c>
      <c r="K601">
        <v>598</v>
      </c>
    </row>
    <row r="602" spans="1:14" x14ac:dyDescent="0.25">
      <c r="A602" s="8" t="s">
        <v>788</v>
      </c>
      <c r="B602" s="8">
        <v>86602</v>
      </c>
      <c r="C602" s="8" t="s">
        <v>788</v>
      </c>
      <c r="D602" s="8" t="s">
        <v>2046</v>
      </c>
      <c r="E602">
        <f t="shared" si="18"/>
        <v>6000000599</v>
      </c>
      <c r="F602">
        <v>6</v>
      </c>
      <c r="J602">
        <f t="shared" si="19"/>
        <v>20000000598</v>
      </c>
      <c r="K602">
        <v>599</v>
      </c>
    </row>
    <row r="603" spans="1:14" x14ac:dyDescent="0.25">
      <c r="A603" s="8" t="s">
        <v>788</v>
      </c>
      <c r="B603" s="8">
        <v>9216</v>
      </c>
      <c r="C603" s="8" t="s">
        <v>788</v>
      </c>
      <c r="D603" s="8" t="s">
        <v>2047</v>
      </c>
      <c r="E603">
        <f t="shared" si="18"/>
        <v>6000000600</v>
      </c>
      <c r="F603">
        <v>6</v>
      </c>
      <c r="J603">
        <f t="shared" si="19"/>
        <v>20000000599</v>
      </c>
      <c r="K603">
        <v>600</v>
      </c>
    </row>
    <row r="604" spans="1:14" x14ac:dyDescent="0.25">
      <c r="A604" s="8" t="s">
        <v>788</v>
      </c>
      <c r="B604" s="8">
        <v>9230</v>
      </c>
      <c r="C604" s="8" t="s">
        <v>788</v>
      </c>
      <c r="D604" s="8" t="s">
        <v>2048</v>
      </c>
      <c r="E604">
        <f t="shared" si="18"/>
        <v>6000000601</v>
      </c>
      <c r="F604">
        <v>6</v>
      </c>
      <c r="J604">
        <f t="shared" si="19"/>
        <v>20000000600</v>
      </c>
      <c r="K604">
        <v>601</v>
      </c>
    </row>
    <row r="605" spans="1:14" x14ac:dyDescent="0.25">
      <c r="A605" s="8" t="s">
        <v>788</v>
      </c>
      <c r="B605" s="8" t="s">
        <v>163</v>
      </c>
      <c r="C605" s="8" t="s">
        <v>788</v>
      </c>
      <c r="D605" s="8" t="s">
        <v>2049</v>
      </c>
      <c r="E605">
        <f t="shared" si="18"/>
        <v>6000000602</v>
      </c>
      <c r="F605">
        <v>6</v>
      </c>
      <c r="J605">
        <f t="shared" si="19"/>
        <v>20000000601</v>
      </c>
      <c r="K605">
        <v>602</v>
      </c>
    </row>
    <row r="606" spans="1:14" x14ac:dyDescent="0.25">
      <c r="A606" s="8" t="s">
        <v>788</v>
      </c>
      <c r="B606" s="8" t="s">
        <v>791</v>
      </c>
      <c r="C606" s="8" t="s">
        <v>788</v>
      </c>
      <c r="D606" s="8" t="s">
        <v>2050</v>
      </c>
      <c r="E606">
        <f t="shared" si="18"/>
        <v>6000000603</v>
      </c>
      <c r="F606">
        <v>6</v>
      </c>
      <c r="J606">
        <f t="shared" si="19"/>
        <v>20000000602</v>
      </c>
      <c r="K606">
        <v>603</v>
      </c>
    </row>
    <row r="607" spans="1:14" x14ac:dyDescent="0.25">
      <c r="A607" s="8" t="s">
        <v>788</v>
      </c>
      <c r="B607" s="8" t="s">
        <v>1159</v>
      </c>
      <c r="C607" s="8" t="s">
        <v>788</v>
      </c>
      <c r="D607" s="8" t="s">
        <v>2051</v>
      </c>
      <c r="E607">
        <f t="shared" si="18"/>
        <v>6000000604</v>
      </c>
      <c r="F607">
        <v>6</v>
      </c>
      <c r="J607">
        <f t="shared" si="19"/>
        <v>20000000603</v>
      </c>
      <c r="K607">
        <v>604</v>
      </c>
    </row>
    <row r="608" spans="1:14" x14ac:dyDescent="0.25">
      <c r="A608" s="8" t="s">
        <v>788</v>
      </c>
      <c r="B608" s="8" t="s">
        <v>1160</v>
      </c>
      <c r="C608" s="8" t="s">
        <v>788</v>
      </c>
      <c r="D608" s="8" t="s">
        <v>2052</v>
      </c>
      <c r="E608">
        <f t="shared" si="18"/>
        <v>6000000605</v>
      </c>
      <c r="F608">
        <v>6</v>
      </c>
      <c r="J608">
        <f t="shared" si="19"/>
        <v>20000000604</v>
      </c>
      <c r="K608">
        <v>605</v>
      </c>
      <c r="M608">
        <v>100</v>
      </c>
      <c r="N608">
        <v>100</v>
      </c>
    </row>
    <row r="609" spans="1:11" x14ac:dyDescent="0.25">
      <c r="A609" s="8" t="s">
        <v>788</v>
      </c>
      <c r="B609" s="8" t="s">
        <v>1161</v>
      </c>
      <c r="C609" s="8" t="s">
        <v>788</v>
      </c>
      <c r="D609" s="8" t="s">
        <v>2053</v>
      </c>
      <c r="E609">
        <f t="shared" si="18"/>
        <v>6000000606</v>
      </c>
      <c r="F609">
        <v>6</v>
      </c>
      <c r="J609">
        <f t="shared" si="19"/>
        <v>20000000605</v>
      </c>
      <c r="K609">
        <v>606</v>
      </c>
    </row>
    <row r="610" spans="1:11" x14ac:dyDescent="0.25">
      <c r="A610" s="8" t="s">
        <v>788</v>
      </c>
      <c r="B610" s="8" t="s">
        <v>792</v>
      </c>
      <c r="C610" s="8" t="s">
        <v>788</v>
      </c>
      <c r="D610" s="8" t="s">
        <v>2054</v>
      </c>
      <c r="E610">
        <f t="shared" si="18"/>
        <v>6000000607</v>
      </c>
      <c r="F610">
        <v>6</v>
      </c>
      <c r="J610">
        <f t="shared" si="19"/>
        <v>20000000606</v>
      </c>
      <c r="K610">
        <v>607</v>
      </c>
    </row>
    <row r="611" spans="1:11" x14ac:dyDescent="0.25">
      <c r="A611" s="8" t="s">
        <v>788</v>
      </c>
      <c r="B611" s="8" t="s">
        <v>793</v>
      </c>
      <c r="C611" s="8" t="s">
        <v>788</v>
      </c>
      <c r="D611" s="8" t="s">
        <v>2055</v>
      </c>
      <c r="E611">
        <f t="shared" si="18"/>
        <v>6000000608</v>
      </c>
      <c r="F611">
        <v>6</v>
      </c>
      <c r="J611">
        <f t="shared" si="19"/>
        <v>20000000607</v>
      </c>
      <c r="K611">
        <v>608</v>
      </c>
    </row>
    <row r="612" spans="1:11" x14ac:dyDescent="0.25">
      <c r="A612" s="8" t="s">
        <v>788</v>
      </c>
      <c r="B612" s="8" t="s">
        <v>794</v>
      </c>
      <c r="C612" s="8" t="s">
        <v>788</v>
      </c>
      <c r="D612" s="8" t="s">
        <v>2056</v>
      </c>
      <c r="E612">
        <f t="shared" si="18"/>
        <v>6000000609</v>
      </c>
      <c r="F612">
        <v>6</v>
      </c>
      <c r="J612">
        <f t="shared" si="19"/>
        <v>20000000608</v>
      </c>
      <c r="K612">
        <v>609</v>
      </c>
    </row>
    <row r="613" spans="1:11" x14ac:dyDescent="0.25">
      <c r="A613" s="8" t="s">
        <v>788</v>
      </c>
      <c r="B613" s="8" t="s">
        <v>795</v>
      </c>
      <c r="C613" s="8" t="s">
        <v>788</v>
      </c>
      <c r="D613" s="8" t="s">
        <v>2057</v>
      </c>
      <c r="E613">
        <f t="shared" si="18"/>
        <v>6000000610</v>
      </c>
      <c r="F613">
        <v>6</v>
      </c>
      <c r="J613">
        <f t="shared" si="19"/>
        <v>20000000609</v>
      </c>
      <c r="K613">
        <v>610</v>
      </c>
    </row>
    <row r="614" spans="1:11" x14ac:dyDescent="0.25">
      <c r="A614" s="8" t="s">
        <v>788</v>
      </c>
      <c r="B614" s="8" t="s">
        <v>796</v>
      </c>
      <c r="C614" s="8" t="s">
        <v>788</v>
      </c>
      <c r="D614" s="8" t="s">
        <v>2058</v>
      </c>
      <c r="E614">
        <f t="shared" si="18"/>
        <v>6000000611</v>
      </c>
      <c r="F614">
        <v>6</v>
      </c>
      <c r="J614">
        <f t="shared" si="19"/>
        <v>20000000610</v>
      </c>
      <c r="K614">
        <v>611</v>
      </c>
    </row>
    <row r="615" spans="1:11" x14ac:dyDescent="0.25">
      <c r="A615" s="8" t="s">
        <v>788</v>
      </c>
      <c r="B615" s="8" t="s">
        <v>797</v>
      </c>
      <c r="C615" s="8" t="s">
        <v>788</v>
      </c>
      <c r="D615" s="8" t="s">
        <v>2059</v>
      </c>
      <c r="E615">
        <f t="shared" si="18"/>
        <v>6000000612</v>
      </c>
      <c r="F615">
        <v>6</v>
      </c>
      <c r="J615">
        <f t="shared" si="19"/>
        <v>20000000611</v>
      </c>
      <c r="K615">
        <v>612</v>
      </c>
    </row>
    <row r="616" spans="1:11" x14ac:dyDescent="0.25">
      <c r="A616" s="8" t="s">
        <v>788</v>
      </c>
      <c r="B616" s="8" t="s">
        <v>798</v>
      </c>
      <c r="C616" s="8" t="s">
        <v>788</v>
      </c>
      <c r="D616" s="8" t="s">
        <v>2060</v>
      </c>
      <c r="E616">
        <f t="shared" si="18"/>
        <v>6000000613</v>
      </c>
      <c r="F616">
        <v>6</v>
      </c>
      <c r="J616">
        <f t="shared" si="19"/>
        <v>20000000612</v>
      </c>
      <c r="K616">
        <v>613</v>
      </c>
    </row>
    <row r="617" spans="1:11" x14ac:dyDescent="0.25">
      <c r="A617" s="8" t="s">
        <v>788</v>
      </c>
      <c r="B617" s="8" t="s">
        <v>1162</v>
      </c>
      <c r="C617" s="8" t="s">
        <v>788</v>
      </c>
      <c r="D617" s="8" t="s">
        <v>2061</v>
      </c>
      <c r="E617">
        <f t="shared" si="18"/>
        <v>6000000614</v>
      </c>
      <c r="F617">
        <v>6</v>
      </c>
      <c r="J617">
        <f t="shared" si="19"/>
        <v>20000000613</v>
      </c>
      <c r="K617">
        <v>614</v>
      </c>
    </row>
    <row r="618" spans="1:11" x14ac:dyDescent="0.25">
      <c r="A618" s="8" t="s">
        <v>1019</v>
      </c>
      <c r="B618" s="8" t="s">
        <v>314</v>
      </c>
      <c r="C618" s="8" t="s">
        <v>1019</v>
      </c>
      <c r="D618" s="8" t="s">
        <v>1735</v>
      </c>
      <c r="E618">
        <f t="shared" si="18"/>
        <v>6000000615</v>
      </c>
      <c r="F618">
        <v>6</v>
      </c>
      <c r="J618">
        <f t="shared" si="19"/>
        <v>20000000614</v>
      </c>
      <c r="K618">
        <v>615</v>
      </c>
    </row>
    <row r="619" spans="1:11" x14ac:dyDescent="0.25">
      <c r="A619" s="8" t="s">
        <v>1019</v>
      </c>
      <c r="B619" s="8" t="s">
        <v>315</v>
      </c>
      <c r="C619" s="8" t="s">
        <v>1019</v>
      </c>
      <c r="D619" s="8" t="s">
        <v>1735</v>
      </c>
      <c r="E619">
        <f t="shared" si="18"/>
        <v>6000000616</v>
      </c>
      <c r="F619">
        <v>6</v>
      </c>
      <c r="J619">
        <f t="shared" si="19"/>
        <v>20000000615</v>
      </c>
      <c r="K619">
        <v>616</v>
      </c>
    </row>
    <row r="620" spans="1:11" x14ac:dyDescent="0.25">
      <c r="A620" s="8" t="s">
        <v>1019</v>
      </c>
      <c r="B620" s="8" t="s">
        <v>316</v>
      </c>
      <c r="C620" s="8" t="s">
        <v>1019</v>
      </c>
      <c r="D620" s="8" t="s">
        <v>1735</v>
      </c>
      <c r="E620">
        <f t="shared" si="18"/>
        <v>6000000617</v>
      </c>
      <c r="F620">
        <v>6</v>
      </c>
      <c r="J620">
        <f t="shared" si="19"/>
        <v>20000000616</v>
      </c>
      <c r="K620">
        <v>617</v>
      </c>
    </row>
    <row r="621" spans="1:11" x14ac:dyDescent="0.25">
      <c r="A621" s="8" t="s">
        <v>1019</v>
      </c>
      <c r="B621" s="8" t="s">
        <v>67</v>
      </c>
      <c r="C621" s="8" t="s">
        <v>1019</v>
      </c>
      <c r="D621" s="8" t="s">
        <v>1735</v>
      </c>
      <c r="E621">
        <f t="shared" si="18"/>
        <v>6000000618</v>
      </c>
      <c r="F621">
        <v>6</v>
      </c>
      <c r="J621">
        <f t="shared" si="19"/>
        <v>20000000617</v>
      </c>
      <c r="K621">
        <v>618</v>
      </c>
    </row>
    <row r="622" spans="1:11" x14ac:dyDescent="0.25">
      <c r="A622" s="8" t="s">
        <v>1019</v>
      </c>
      <c r="B622" s="8" t="s">
        <v>317</v>
      </c>
      <c r="C622" s="8" t="s">
        <v>1019</v>
      </c>
      <c r="D622" s="8" t="s">
        <v>1735</v>
      </c>
      <c r="E622">
        <f t="shared" si="18"/>
        <v>6000000619</v>
      </c>
      <c r="F622">
        <v>6</v>
      </c>
      <c r="J622">
        <f t="shared" si="19"/>
        <v>20000000618</v>
      </c>
      <c r="K622">
        <v>619</v>
      </c>
    </row>
    <row r="623" spans="1:11" x14ac:dyDescent="0.25">
      <c r="A623" s="8" t="s">
        <v>1019</v>
      </c>
      <c r="B623" s="8" t="s">
        <v>68</v>
      </c>
      <c r="C623" s="8" t="s">
        <v>1019</v>
      </c>
      <c r="D623" s="8" t="s">
        <v>1735</v>
      </c>
      <c r="E623">
        <f t="shared" si="18"/>
        <v>6000000620</v>
      </c>
      <c r="F623">
        <v>6</v>
      </c>
      <c r="J623">
        <f t="shared" si="19"/>
        <v>20000000619</v>
      </c>
      <c r="K623">
        <v>620</v>
      </c>
    </row>
    <row r="624" spans="1:11" x14ac:dyDescent="0.25">
      <c r="A624" s="8" t="s">
        <v>1019</v>
      </c>
      <c r="B624" s="8" t="s">
        <v>69</v>
      </c>
      <c r="C624" s="8" t="s">
        <v>1019</v>
      </c>
      <c r="D624" s="8" t="s">
        <v>1735</v>
      </c>
      <c r="E624">
        <f t="shared" si="18"/>
        <v>6000000621</v>
      </c>
      <c r="F624">
        <v>6</v>
      </c>
      <c r="J624">
        <f t="shared" si="19"/>
        <v>20000000620</v>
      </c>
      <c r="K624">
        <v>621</v>
      </c>
    </row>
    <row r="625" spans="1:11" x14ac:dyDescent="0.25">
      <c r="A625" s="8" t="s">
        <v>1019</v>
      </c>
      <c r="B625" s="8" t="s">
        <v>70</v>
      </c>
      <c r="C625" s="8" t="s">
        <v>1019</v>
      </c>
      <c r="D625" s="8" t="s">
        <v>1735</v>
      </c>
      <c r="E625">
        <f t="shared" si="18"/>
        <v>6000000622</v>
      </c>
      <c r="F625">
        <v>6</v>
      </c>
      <c r="J625">
        <f t="shared" si="19"/>
        <v>20000000621</v>
      </c>
      <c r="K625">
        <v>622</v>
      </c>
    </row>
    <row r="626" spans="1:11" x14ac:dyDescent="0.25">
      <c r="A626" s="8" t="s">
        <v>1019</v>
      </c>
      <c r="B626" s="8" t="s">
        <v>318</v>
      </c>
      <c r="C626" s="8" t="s">
        <v>1019</v>
      </c>
      <c r="D626" s="8" t="s">
        <v>1735</v>
      </c>
      <c r="E626">
        <f t="shared" si="18"/>
        <v>6000000623</v>
      </c>
      <c r="F626">
        <v>6</v>
      </c>
      <c r="J626">
        <f t="shared" si="19"/>
        <v>20000000622</v>
      </c>
      <c r="K626">
        <v>623</v>
      </c>
    </row>
    <row r="627" spans="1:11" x14ac:dyDescent="0.25">
      <c r="A627" s="8" t="s">
        <v>1019</v>
      </c>
      <c r="B627" s="8" t="s">
        <v>319</v>
      </c>
      <c r="C627" s="8" t="s">
        <v>1019</v>
      </c>
      <c r="D627" s="8" t="s">
        <v>1735</v>
      </c>
      <c r="E627">
        <f t="shared" si="18"/>
        <v>6000000624</v>
      </c>
      <c r="F627">
        <v>6</v>
      </c>
      <c r="J627">
        <f t="shared" si="19"/>
        <v>20000000623</v>
      </c>
      <c r="K627">
        <v>624</v>
      </c>
    </row>
    <row r="628" spans="1:11" x14ac:dyDescent="0.25">
      <c r="A628" s="8" t="s">
        <v>1019</v>
      </c>
      <c r="B628" s="8" t="s">
        <v>320</v>
      </c>
      <c r="C628" s="8" t="s">
        <v>1019</v>
      </c>
      <c r="D628" s="8" t="s">
        <v>1735</v>
      </c>
      <c r="E628">
        <f t="shared" si="18"/>
        <v>6000000625</v>
      </c>
      <c r="F628">
        <v>6</v>
      </c>
      <c r="J628">
        <f t="shared" si="19"/>
        <v>20000000624</v>
      </c>
      <c r="K628">
        <v>625</v>
      </c>
    </row>
    <row r="629" spans="1:11" x14ac:dyDescent="0.25">
      <c r="A629" s="8" t="s">
        <v>1019</v>
      </c>
      <c r="B629" s="8" t="s">
        <v>321</v>
      </c>
      <c r="C629" s="8" t="s">
        <v>1019</v>
      </c>
      <c r="D629" s="8" t="s">
        <v>1735</v>
      </c>
      <c r="E629">
        <f t="shared" si="18"/>
        <v>6000000626</v>
      </c>
      <c r="F629">
        <v>6</v>
      </c>
      <c r="J629">
        <f t="shared" si="19"/>
        <v>20000000625</v>
      </c>
      <c r="K629">
        <v>626</v>
      </c>
    </row>
    <row r="630" spans="1:11" x14ac:dyDescent="0.25">
      <c r="A630" s="8" t="s">
        <v>1019</v>
      </c>
      <c r="B630" s="8" t="s">
        <v>322</v>
      </c>
      <c r="C630" s="8" t="s">
        <v>1019</v>
      </c>
      <c r="D630" s="8" t="s">
        <v>1735</v>
      </c>
      <c r="E630">
        <f t="shared" si="18"/>
        <v>6000000627</v>
      </c>
      <c r="F630">
        <v>6</v>
      </c>
      <c r="J630">
        <f t="shared" si="19"/>
        <v>20000000626</v>
      </c>
      <c r="K630">
        <v>627</v>
      </c>
    </row>
    <row r="631" spans="1:11" x14ac:dyDescent="0.25">
      <c r="A631" s="8" t="s">
        <v>1019</v>
      </c>
      <c r="B631" s="8" t="s">
        <v>323</v>
      </c>
      <c r="C631" s="8" t="s">
        <v>1019</v>
      </c>
      <c r="D631" s="8" t="s">
        <v>2062</v>
      </c>
      <c r="E631">
        <f t="shared" si="18"/>
        <v>6000000628</v>
      </c>
      <c r="F631">
        <v>6</v>
      </c>
      <c r="J631">
        <f t="shared" si="19"/>
        <v>20000000627</v>
      </c>
      <c r="K631">
        <v>628</v>
      </c>
    </row>
    <row r="632" spans="1:11" x14ac:dyDescent="0.25">
      <c r="A632" s="8" t="s">
        <v>1019</v>
      </c>
      <c r="B632" s="8" t="s">
        <v>324</v>
      </c>
      <c r="C632" s="8" t="s">
        <v>1019</v>
      </c>
      <c r="D632" s="8" t="s">
        <v>2063</v>
      </c>
      <c r="E632">
        <f t="shared" si="18"/>
        <v>6000000629</v>
      </c>
      <c r="F632">
        <v>6</v>
      </c>
      <c r="J632">
        <f t="shared" si="19"/>
        <v>20000000628</v>
      </c>
      <c r="K632">
        <v>629</v>
      </c>
    </row>
    <row r="633" spans="1:11" x14ac:dyDescent="0.25">
      <c r="A633" s="8" t="s">
        <v>1019</v>
      </c>
      <c r="B633" s="8" t="s">
        <v>325</v>
      </c>
      <c r="C633" s="8" t="s">
        <v>1019</v>
      </c>
      <c r="D633" s="8" t="s">
        <v>2064</v>
      </c>
      <c r="E633">
        <f t="shared" si="18"/>
        <v>6000000630</v>
      </c>
      <c r="F633">
        <v>6</v>
      </c>
      <c r="J633">
        <f t="shared" si="19"/>
        <v>20000000629</v>
      </c>
      <c r="K633">
        <v>630</v>
      </c>
    </row>
    <row r="634" spans="1:11" x14ac:dyDescent="0.25">
      <c r="A634" s="8" t="s">
        <v>326</v>
      </c>
      <c r="B634" s="8" t="s">
        <v>678</v>
      </c>
      <c r="C634" s="8" t="s">
        <v>326</v>
      </c>
      <c r="D634" s="8" t="s">
        <v>2065</v>
      </c>
      <c r="E634">
        <f t="shared" si="18"/>
        <v>2000000631</v>
      </c>
      <c r="F634">
        <v>2</v>
      </c>
      <c r="J634">
        <f t="shared" si="19"/>
        <v>20000000630</v>
      </c>
      <c r="K634">
        <v>631</v>
      </c>
    </row>
    <row r="635" spans="1:11" x14ac:dyDescent="0.25">
      <c r="A635" s="8" t="s">
        <v>326</v>
      </c>
      <c r="B635" s="8" t="s">
        <v>679</v>
      </c>
      <c r="C635" s="8" t="s">
        <v>326</v>
      </c>
      <c r="D635" s="8" t="s">
        <v>2066</v>
      </c>
      <c r="E635">
        <f t="shared" si="18"/>
        <v>2000000632</v>
      </c>
      <c r="F635">
        <v>2</v>
      </c>
      <c r="J635">
        <f t="shared" si="19"/>
        <v>20000000631</v>
      </c>
      <c r="K635">
        <v>632</v>
      </c>
    </row>
    <row r="636" spans="1:11" x14ac:dyDescent="0.25">
      <c r="A636" s="8" t="s">
        <v>327</v>
      </c>
      <c r="B636" s="8" t="s">
        <v>899</v>
      </c>
      <c r="C636" s="8" t="s">
        <v>327</v>
      </c>
      <c r="D636" s="8" t="s">
        <v>2067</v>
      </c>
      <c r="E636">
        <f t="shared" si="18"/>
        <v>2000000633</v>
      </c>
      <c r="F636">
        <v>2</v>
      </c>
      <c r="J636">
        <f t="shared" si="19"/>
        <v>20000000632</v>
      </c>
      <c r="K636">
        <v>633</v>
      </c>
    </row>
    <row r="637" spans="1:11" x14ac:dyDescent="0.25">
      <c r="A637" s="8" t="s">
        <v>327</v>
      </c>
      <c r="B637" s="8" t="s">
        <v>799</v>
      </c>
      <c r="C637" s="8" t="s">
        <v>327</v>
      </c>
      <c r="D637" s="8" t="s">
        <v>2068</v>
      </c>
      <c r="E637">
        <f t="shared" si="18"/>
        <v>2000000634</v>
      </c>
      <c r="F637">
        <v>2</v>
      </c>
      <c r="J637">
        <f t="shared" si="19"/>
        <v>20000000633</v>
      </c>
      <c r="K637">
        <v>634</v>
      </c>
    </row>
    <row r="638" spans="1:11" x14ac:dyDescent="0.25">
      <c r="A638" s="8" t="s">
        <v>327</v>
      </c>
      <c r="B638" s="8" t="s">
        <v>965</v>
      </c>
      <c r="C638" s="8" t="s">
        <v>327</v>
      </c>
      <c r="D638" s="8" t="s">
        <v>2069</v>
      </c>
      <c r="E638">
        <f t="shared" si="18"/>
        <v>2000000635</v>
      </c>
      <c r="F638">
        <v>2</v>
      </c>
      <c r="J638">
        <f t="shared" si="19"/>
        <v>20000000634</v>
      </c>
      <c r="K638">
        <v>635</v>
      </c>
    </row>
    <row r="639" spans="1:11" x14ac:dyDescent="0.25">
      <c r="A639" s="8" t="s">
        <v>327</v>
      </c>
      <c r="B639" s="8" t="s">
        <v>1163</v>
      </c>
      <c r="C639" s="8" t="s">
        <v>327</v>
      </c>
      <c r="D639" s="8" t="s">
        <v>2070</v>
      </c>
      <c r="E639">
        <f t="shared" si="18"/>
        <v>2000000636</v>
      </c>
      <c r="F639">
        <v>2</v>
      </c>
      <c r="J639">
        <f t="shared" si="19"/>
        <v>20000000635</v>
      </c>
      <c r="K639">
        <v>636</v>
      </c>
    </row>
    <row r="640" spans="1:11" x14ac:dyDescent="0.25">
      <c r="A640" s="8" t="s">
        <v>1020</v>
      </c>
      <c r="B640" s="8">
        <v>4000037</v>
      </c>
      <c r="C640" s="8" t="s">
        <v>1020</v>
      </c>
      <c r="D640" s="8" t="s">
        <v>2071</v>
      </c>
      <c r="E640">
        <f t="shared" si="18"/>
        <v>2000000637</v>
      </c>
      <c r="F640">
        <v>2</v>
      </c>
      <c r="J640">
        <f t="shared" si="19"/>
        <v>20000000636</v>
      </c>
      <c r="K640">
        <v>637</v>
      </c>
    </row>
    <row r="641" spans="1:11" x14ac:dyDescent="0.25">
      <c r="A641" s="8" t="s">
        <v>1020</v>
      </c>
      <c r="B641" s="8" t="s">
        <v>1164</v>
      </c>
      <c r="C641" s="8" t="s">
        <v>1020</v>
      </c>
      <c r="D641" s="8" t="s">
        <v>2072</v>
      </c>
      <c r="E641">
        <f t="shared" si="18"/>
        <v>2000000638</v>
      </c>
      <c r="F641">
        <v>2</v>
      </c>
      <c r="J641">
        <f t="shared" si="19"/>
        <v>20000000637</v>
      </c>
      <c r="K641">
        <v>638</v>
      </c>
    </row>
    <row r="642" spans="1:11" x14ac:dyDescent="0.25">
      <c r="A642" s="8" t="s">
        <v>1020</v>
      </c>
      <c r="B642" s="8" t="s">
        <v>1165</v>
      </c>
      <c r="C642" s="8" t="s">
        <v>1020</v>
      </c>
      <c r="D642" s="8" t="s">
        <v>2073</v>
      </c>
      <c r="E642">
        <f t="shared" si="18"/>
        <v>2000000639</v>
      </c>
      <c r="F642">
        <v>2</v>
      </c>
      <c r="J642">
        <f t="shared" si="19"/>
        <v>20000000638</v>
      </c>
      <c r="K642">
        <v>639</v>
      </c>
    </row>
    <row r="643" spans="1:11" x14ac:dyDescent="0.25">
      <c r="A643" s="8" t="s">
        <v>1020</v>
      </c>
      <c r="B643" s="8" t="s">
        <v>1166</v>
      </c>
      <c r="C643" s="8" t="s">
        <v>1020</v>
      </c>
      <c r="D643" s="8" t="s">
        <v>2074</v>
      </c>
      <c r="E643">
        <f t="shared" si="18"/>
        <v>2000000640</v>
      </c>
      <c r="F643">
        <v>2</v>
      </c>
      <c r="J643">
        <f t="shared" si="19"/>
        <v>20000000639</v>
      </c>
      <c r="K643">
        <v>640</v>
      </c>
    </row>
    <row r="644" spans="1:11" x14ac:dyDescent="0.25">
      <c r="A644" s="8" t="s">
        <v>800</v>
      </c>
      <c r="B644" s="8" t="s">
        <v>801</v>
      </c>
      <c r="C644" s="8" t="s">
        <v>800</v>
      </c>
      <c r="D644" s="8" t="s">
        <v>2075</v>
      </c>
      <c r="E644">
        <f t="shared" si="18"/>
        <v>2000000641</v>
      </c>
      <c r="F644">
        <v>2</v>
      </c>
      <c r="J644">
        <f t="shared" si="19"/>
        <v>20000000640</v>
      </c>
      <c r="K644">
        <v>641</v>
      </c>
    </row>
    <row r="645" spans="1:11" x14ac:dyDescent="0.25">
      <c r="A645" s="8" t="s">
        <v>800</v>
      </c>
      <c r="B645" s="8" t="s">
        <v>1167</v>
      </c>
      <c r="C645" s="8" t="s">
        <v>800</v>
      </c>
      <c r="D645" s="8" t="s">
        <v>2076</v>
      </c>
      <c r="E645">
        <f t="shared" ref="E645:E708" si="20">IF(F645="",J645,IF(G645="",F645*$F$2+K645,IF(H645="",F645*$F$2+G645*$G$2+K645,IF(I645="",F645*$F$2+G645*$G$2+H645*$H$2+K645,F645*$F$2+G645*$G$2+H645*$H$2+I645*$I$2+K645))))</f>
        <v>2000000642</v>
      </c>
      <c r="F645">
        <v>2</v>
      </c>
      <c r="J645">
        <f t="shared" si="19"/>
        <v>20000000641</v>
      </c>
      <c r="K645">
        <v>642</v>
      </c>
    </row>
    <row r="646" spans="1:11" x14ac:dyDescent="0.25">
      <c r="A646" s="8" t="s">
        <v>1021</v>
      </c>
      <c r="B646" s="8" t="s">
        <v>329</v>
      </c>
      <c r="C646" s="8" t="s">
        <v>1021</v>
      </c>
      <c r="D646" s="8" t="s">
        <v>2077</v>
      </c>
      <c r="E646">
        <f t="shared" si="20"/>
        <v>2000000643</v>
      </c>
      <c r="F646">
        <v>2</v>
      </c>
      <c r="J646">
        <f t="shared" si="19"/>
        <v>20000000642</v>
      </c>
      <c r="K646">
        <v>643</v>
      </c>
    </row>
    <row r="647" spans="1:11" x14ac:dyDescent="0.25">
      <c r="A647" s="8" t="s">
        <v>1021</v>
      </c>
      <c r="B647" s="8" t="s">
        <v>1168</v>
      </c>
      <c r="C647" s="8" t="s">
        <v>1021</v>
      </c>
      <c r="D647" s="8" t="s">
        <v>2078</v>
      </c>
      <c r="E647">
        <f t="shared" si="20"/>
        <v>2000000644</v>
      </c>
      <c r="F647">
        <v>2</v>
      </c>
      <c r="J647">
        <f t="shared" si="19"/>
        <v>20000000643</v>
      </c>
      <c r="K647">
        <v>644</v>
      </c>
    </row>
    <row r="648" spans="1:11" x14ac:dyDescent="0.25">
      <c r="A648" s="8" t="s">
        <v>1426</v>
      </c>
      <c r="B648" s="8" t="s">
        <v>1444</v>
      </c>
      <c r="C648" s="8" t="s">
        <v>1426</v>
      </c>
      <c r="D648" s="8" t="s">
        <v>2079</v>
      </c>
      <c r="E648">
        <f t="shared" si="20"/>
        <v>2000000645</v>
      </c>
      <c r="F648">
        <v>2</v>
      </c>
      <c r="J648">
        <f t="shared" si="19"/>
        <v>20000000644</v>
      </c>
      <c r="K648">
        <v>645</v>
      </c>
    </row>
    <row r="649" spans="1:11" x14ac:dyDescent="0.25">
      <c r="A649" s="8" t="s">
        <v>331</v>
      </c>
      <c r="B649" s="8">
        <v>632</v>
      </c>
      <c r="C649" s="8" t="s">
        <v>331</v>
      </c>
      <c r="D649" s="8" t="s">
        <v>2080</v>
      </c>
      <c r="E649">
        <f t="shared" si="20"/>
        <v>6000000646</v>
      </c>
      <c r="F649">
        <v>6</v>
      </c>
      <c r="J649">
        <f t="shared" ref="J649:J712" si="21">J648+1</f>
        <v>20000000645</v>
      </c>
      <c r="K649">
        <v>646</v>
      </c>
    </row>
    <row r="650" spans="1:11" x14ac:dyDescent="0.25">
      <c r="A650" s="8" t="s">
        <v>331</v>
      </c>
      <c r="B650" s="8" t="s">
        <v>1169</v>
      </c>
      <c r="C650" s="8" t="s">
        <v>331</v>
      </c>
      <c r="D650" s="8" t="s">
        <v>2081</v>
      </c>
      <c r="E650">
        <f t="shared" si="20"/>
        <v>6000000647</v>
      </c>
      <c r="F650">
        <v>6</v>
      </c>
      <c r="J650">
        <f t="shared" si="21"/>
        <v>20000000646</v>
      </c>
      <c r="K650">
        <v>647</v>
      </c>
    </row>
    <row r="651" spans="1:11" x14ac:dyDescent="0.25">
      <c r="A651" s="8" t="s">
        <v>331</v>
      </c>
      <c r="B651" s="8" t="s">
        <v>208</v>
      </c>
      <c r="C651" s="8" t="s">
        <v>331</v>
      </c>
      <c r="D651" s="8" t="s">
        <v>2082</v>
      </c>
      <c r="E651">
        <f t="shared" si="20"/>
        <v>6000000648</v>
      </c>
      <c r="F651">
        <v>6</v>
      </c>
      <c r="J651">
        <f t="shared" si="21"/>
        <v>20000000647</v>
      </c>
      <c r="K651">
        <v>648</v>
      </c>
    </row>
    <row r="652" spans="1:11" x14ac:dyDescent="0.25">
      <c r="A652" s="8" t="s">
        <v>331</v>
      </c>
      <c r="B652" s="8" t="s">
        <v>747</v>
      </c>
      <c r="C652" s="8" t="s">
        <v>331</v>
      </c>
      <c r="D652" s="8" t="s">
        <v>2083</v>
      </c>
      <c r="E652">
        <f t="shared" si="20"/>
        <v>6000000649</v>
      </c>
      <c r="F652">
        <v>6</v>
      </c>
      <c r="J652">
        <f t="shared" si="21"/>
        <v>20000000648</v>
      </c>
      <c r="K652">
        <v>649</v>
      </c>
    </row>
    <row r="653" spans="1:11" x14ac:dyDescent="0.25">
      <c r="A653" s="8" t="s">
        <v>331</v>
      </c>
      <c r="B653" s="8" t="s">
        <v>209</v>
      </c>
      <c r="C653" s="8" t="s">
        <v>331</v>
      </c>
      <c r="D653" s="8" t="s">
        <v>2084</v>
      </c>
      <c r="E653">
        <f t="shared" si="20"/>
        <v>6000000650</v>
      </c>
      <c r="F653">
        <v>6</v>
      </c>
      <c r="J653">
        <f t="shared" si="21"/>
        <v>20000000649</v>
      </c>
      <c r="K653">
        <v>650</v>
      </c>
    </row>
    <row r="654" spans="1:11" x14ac:dyDescent="0.25">
      <c r="A654" s="8" t="s">
        <v>331</v>
      </c>
      <c r="B654" s="8" t="s">
        <v>210</v>
      </c>
      <c r="C654" s="8" t="s">
        <v>331</v>
      </c>
      <c r="D654" s="8" t="s">
        <v>2085</v>
      </c>
      <c r="E654">
        <f t="shared" si="20"/>
        <v>6000000651</v>
      </c>
      <c r="F654">
        <v>6</v>
      </c>
      <c r="J654">
        <f t="shared" si="21"/>
        <v>20000000650</v>
      </c>
      <c r="K654">
        <v>651</v>
      </c>
    </row>
    <row r="655" spans="1:11" x14ac:dyDescent="0.25">
      <c r="A655" s="8" t="s">
        <v>331</v>
      </c>
      <c r="B655" s="8" t="s">
        <v>211</v>
      </c>
      <c r="C655" s="8" t="s">
        <v>331</v>
      </c>
      <c r="D655" s="8" t="s">
        <v>2086</v>
      </c>
      <c r="E655">
        <f t="shared" si="20"/>
        <v>6000000652</v>
      </c>
      <c r="F655">
        <v>6</v>
      </c>
      <c r="J655">
        <f t="shared" si="21"/>
        <v>20000000651</v>
      </c>
      <c r="K655">
        <v>652</v>
      </c>
    </row>
    <row r="656" spans="1:11" x14ac:dyDescent="0.25">
      <c r="A656" s="8" t="s">
        <v>331</v>
      </c>
      <c r="B656" s="8" t="s">
        <v>212</v>
      </c>
      <c r="C656" s="8" t="s">
        <v>331</v>
      </c>
      <c r="D656" s="8" t="s">
        <v>2087</v>
      </c>
      <c r="E656">
        <f t="shared" si="20"/>
        <v>6000000653</v>
      </c>
      <c r="F656">
        <v>6</v>
      </c>
      <c r="J656">
        <f t="shared" si="21"/>
        <v>20000000652</v>
      </c>
      <c r="K656">
        <v>653</v>
      </c>
    </row>
    <row r="657" spans="1:11" x14ac:dyDescent="0.25">
      <c r="A657" s="8" t="s">
        <v>331</v>
      </c>
      <c r="B657" s="8" t="s">
        <v>213</v>
      </c>
      <c r="C657" s="8" t="s">
        <v>331</v>
      </c>
      <c r="D657" s="8" t="s">
        <v>2088</v>
      </c>
      <c r="E657">
        <f t="shared" si="20"/>
        <v>6000000654</v>
      </c>
      <c r="F657">
        <v>6</v>
      </c>
      <c r="J657">
        <f t="shared" si="21"/>
        <v>20000000653</v>
      </c>
      <c r="K657">
        <v>654</v>
      </c>
    </row>
    <row r="658" spans="1:11" x14ac:dyDescent="0.25">
      <c r="A658" s="8" t="s">
        <v>331</v>
      </c>
      <c r="B658" s="8" t="s">
        <v>214</v>
      </c>
      <c r="C658" s="8" t="s">
        <v>331</v>
      </c>
      <c r="D658" s="8" t="s">
        <v>2089</v>
      </c>
      <c r="E658">
        <f t="shared" si="20"/>
        <v>6000000655</v>
      </c>
      <c r="F658">
        <v>6</v>
      </c>
      <c r="J658">
        <f t="shared" si="21"/>
        <v>20000000654</v>
      </c>
      <c r="K658">
        <v>655</v>
      </c>
    </row>
    <row r="659" spans="1:11" x14ac:dyDescent="0.25">
      <c r="A659" s="8" t="s">
        <v>331</v>
      </c>
      <c r="B659" s="8" t="s">
        <v>215</v>
      </c>
      <c r="C659" s="8" t="s">
        <v>331</v>
      </c>
      <c r="D659" s="8" t="s">
        <v>2090</v>
      </c>
      <c r="E659">
        <f t="shared" si="20"/>
        <v>6000000656</v>
      </c>
      <c r="F659">
        <v>6</v>
      </c>
      <c r="J659">
        <f t="shared" si="21"/>
        <v>20000000655</v>
      </c>
      <c r="K659">
        <v>656</v>
      </c>
    </row>
    <row r="660" spans="1:11" x14ac:dyDescent="0.25">
      <c r="A660" s="8" t="s">
        <v>331</v>
      </c>
      <c r="B660" s="8" t="s">
        <v>216</v>
      </c>
      <c r="C660" s="8" t="s">
        <v>331</v>
      </c>
      <c r="D660" s="8" t="s">
        <v>2091</v>
      </c>
      <c r="E660">
        <f t="shared" si="20"/>
        <v>6000000657</v>
      </c>
      <c r="F660">
        <v>6</v>
      </c>
      <c r="J660">
        <f t="shared" si="21"/>
        <v>20000000656</v>
      </c>
      <c r="K660">
        <v>657</v>
      </c>
    </row>
    <row r="661" spans="1:11" x14ac:dyDescent="0.25">
      <c r="A661" s="8" t="s">
        <v>331</v>
      </c>
      <c r="B661" s="8" t="s">
        <v>217</v>
      </c>
      <c r="C661" s="8" t="s">
        <v>331</v>
      </c>
      <c r="D661" s="8" t="s">
        <v>2092</v>
      </c>
      <c r="E661">
        <f t="shared" si="20"/>
        <v>6000000658</v>
      </c>
      <c r="F661">
        <v>6</v>
      </c>
      <c r="J661">
        <f t="shared" si="21"/>
        <v>20000000657</v>
      </c>
      <c r="K661">
        <v>658</v>
      </c>
    </row>
    <row r="662" spans="1:11" x14ac:dyDescent="0.25">
      <c r="A662" s="8" t="s">
        <v>331</v>
      </c>
      <c r="B662" s="8" t="s">
        <v>1445</v>
      </c>
      <c r="C662" s="8" t="s">
        <v>331</v>
      </c>
      <c r="D662" s="8" t="s">
        <v>2093</v>
      </c>
      <c r="E662">
        <f t="shared" si="20"/>
        <v>6000000659</v>
      </c>
      <c r="F662">
        <v>6</v>
      </c>
      <c r="J662">
        <f t="shared" si="21"/>
        <v>20000000658</v>
      </c>
      <c r="K662">
        <v>659</v>
      </c>
    </row>
    <row r="663" spans="1:11" x14ac:dyDescent="0.25">
      <c r="A663" s="8" t="s">
        <v>331</v>
      </c>
      <c r="B663" s="8" t="s">
        <v>1446</v>
      </c>
      <c r="C663" s="8" t="s">
        <v>331</v>
      </c>
      <c r="D663" s="8" t="s">
        <v>2094</v>
      </c>
      <c r="E663">
        <f t="shared" si="20"/>
        <v>6000000660</v>
      </c>
      <c r="F663">
        <v>6</v>
      </c>
      <c r="J663">
        <f t="shared" si="21"/>
        <v>20000000659</v>
      </c>
      <c r="K663">
        <v>660</v>
      </c>
    </row>
    <row r="664" spans="1:11" x14ac:dyDescent="0.25">
      <c r="A664" s="8" t="s">
        <v>332</v>
      </c>
      <c r="B664" s="8" t="s">
        <v>1170</v>
      </c>
      <c r="C664" s="8" t="s">
        <v>332</v>
      </c>
      <c r="D664" s="8" t="s">
        <v>2095</v>
      </c>
      <c r="E664">
        <f t="shared" si="20"/>
        <v>4000000661</v>
      </c>
      <c r="F664">
        <v>4</v>
      </c>
      <c r="J664">
        <f t="shared" si="21"/>
        <v>20000000660</v>
      </c>
      <c r="K664">
        <v>661</v>
      </c>
    </row>
    <row r="665" spans="1:11" x14ac:dyDescent="0.25">
      <c r="A665" s="8" t="s">
        <v>332</v>
      </c>
      <c r="B665" s="8" t="s">
        <v>680</v>
      </c>
      <c r="C665" s="8" t="s">
        <v>332</v>
      </c>
      <c r="D665" s="8" t="s">
        <v>2096</v>
      </c>
      <c r="E665">
        <f t="shared" si="20"/>
        <v>4000000662</v>
      </c>
      <c r="F665">
        <v>4</v>
      </c>
      <c r="J665">
        <f t="shared" si="21"/>
        <v>20000000661</v>
      </c>
      <c r="K665">
        <v>662</v>
      </c>
    </row>
    <row r="666" spans="1:11" x14ac:dyDescent="0.25">
      <c r="A666" s="8" t="s">
        <v>332</v>
      </c>
      <c r="B666" s="8" t="s">
        <v>1171</v>
      </c>
      <c r="C666" s="8" t="s">
        <v>332</v>
      </c>
      <c r="D666" s="8" t="s">
        <v>2097</v>
      </c>
      <c r="E666">
        <f t="shared" si="20"/>
        <v>4000000663</v>
      </c>
      <c r="F666">
        <v>4</v>
      </c>
      <c r="J666">
        <f t="shared" si="21"/>
        <v>20000000662</v>
      </c>
      <c r="K666">
        <v>663</v>
      </c>
    </row>
    <row r="667" spans="1:11" x14ac:dyDescent="0.25">
      <c r="A667" s="8" t="s">
        <v>332</v>
      </c>
      <c r="B667" s="8" t="s">
        <v>1172</v>
      </c>
      <c r="C667" s="8" t="s">
        <v>332</v>
      </c>
      <c r="D667" s="8" t="s">
        <v>2098</v>
      </c>
      <c r="E667">
        <f t="shared" si="20"/>
        <v>4000000664</v>
      </c>
      <c r="F667">
        <v>4</v>
      </c>
      <c r="J667">
        <f t="shared" si="21"/>
        <v>20000000663</v>
      </c>
      <c r="K667">
        <v>664</v>
      </c>
    </row>
    <row r="668" spans="1:11" x14ac:dyDescent="0.25">
      <c r="A668" s="8" t="s">
        <v>332</v>
      </c>
      <c r="B668" s="8" t="s">
        <v>681</v>
      </c>
      <c r="C668" s="8" t="s">
        <v>332</v>
      </c>
      <c r="D668" s="8" t="s">
        <v>2099</v>
      </c>
      <c r="E668">
        <f t="shared" si="20"/>
        <v>4000000665</v>
      </c>
      <c r="F668">
        <v>4</v>
      </c>
      <c r="J668">
        <f t="shared" si="21"/>
        <v>20000000664</v>
      </c>
      <c r="K668">
        <v>665</v>
      </c>
    </row>
    <row r="669" spans="1:11" x14ac:dyDescent="0.25">
      <c r="A669" s="8" t="s">
        <v>332</v>
      </c>
      <c r="B669" s="8" t="s">
        <v>333</v>
      </c>
      <c r="C669" s="8" t="s">
        <v>332</v>
      </c>
      <c r="D669" s="8" t="s">
        <v>2100</v>
      </c>
      <c r="E669">
        <f t="shared" si="20"/>
        <v>4000000666</v>
      </c>
      <c r="F669">
        <v>4</v>
      </c>
      <c r="J669">
        <f t="shared" si="21"/>
        <v>20000000665</v>
      </c>
      <c r="K669">
        <v>666</v>
      </c>
    </row>
    <row r="670" spans="1:11" x14ac:dyDescent="0.25">
      <c r="A670" s="8" t="s">
        <v>332</v>
      </c>
      <c r="B670" s="8" t="s">
        <v>334</v>
      </c>
      <c r="C670" s="8" t="s">
        <v>332</v>
      </c>
      <c r="D670" s="8" t="s">
        <v>2101</v>
      </c>
      <c r="E670">
        <f t="shared" si="20"/>
        <v>4000000667</v>
      </c>
      <c r="F670">
        <v>4</v>
      </c>
      <c r="J670">
        <f t="shared" si="21"/>
        <v>20000000666</v>
      </c>
      <c r="K670">
        <v>667</v>
      </c>
    </row>
    <row r="671" spans="1:11" x14ac:dyDescent="0.25">
      <c r="A671" s="8" t="s">
        <v>332</v>
      </c>
      <c r="B671" s="8" t="s">
        <v>1173</v>
      </c>
      <c r="C671" s="8" t="s">
        <v>332</v>
      </c>
      <c r="D671" s="8" t="s">
        <v>2102</v>
      </c>
      <c r="E671">
        <f t="shared" si="20"/>
        <v>4000000668</v>
      </c>
      <c r="F671">
        <v>4</v>
      </c>
      <c r="J671">
        <f t="shared" si="21"/>
        <v>20000000667</v>
      </c>
      <c r="K671">
        <v>668</v>
      </c>
    </row>
    <row r="672" spans="1:11" x14ac:dyDescent="0.25">
      <c r="A672" s="8" t="s">
        <v>332</v>
      </c>
      <c r="B672" s="8" t="s">
        <v>1174</v>
      </c>
      <c r="C672" s="8" t="s">
        <v>332</v>
      </c>
      <c r="D672" s="8" t="s">
        <v>2103</v>
      </c>
      <c r="E672">
        <f t="shared" si="20"/>
        <v>4000000669</v>
      </c>
      <c r="F672">
        <v>4</v>
      </c>
      <c r="J672">
        <f t="shared" si="21"/>
        <v>20000000668</v>
      </c>
      <c r="K672">
        <v>669</v>
      </c>
    </row>
    <row r="673" spans="1:11" x14ac:dyDescent="0.25">
      <c r="A673" s="8" t="s">
        <v>332</v>
      </c>
      <c r="B673" s="8" t="s">
        <v>1175</v>
      </c>
      <c r="C673" s="8" t="s">
        <v>332</v>
      </c>
      <c r="D673" s="8" t="s">
        <v>2104</v>
      </c>
      <c r="E673">
        <f t="shared" si="20"/>
        <v>4000000670</v>
      </c>
      <c r="F673">
        <v>4</v>
      </c>
      <c r="J673">
        <f t="shared" si="21"/>
        <v>20000000669</v>
      </c>
      <c r="K673">
        <v>670</v>
      </c>
    </row>
    <row r="674" spans="1:11" x14ac:dyDescent="0.25">
      <c r="A674" s="8" t="s">
        <v>335</v>
      </c>
      <c r="B674" s="8">
        <v>247020</v>
      </c>
      <c r="C674" s="8" t="s">
        <v>335</v>
      </c>
      <c r="D674" s="8" t="s">
        <v>2105</v>
      </c>
      <c r="E674">
        <f t="shared" si="20"/>
        <v>6000000671</v>
      </c>
      <c r="F674">
        <v>6</v>
      </c>
      <c r="J674">
        <f t="shared" si="21"/>
        <v>20000000670</v>
      </c>
      <c r="K674">
        <v>671</v>
      </c>
    </row>
    <row r="675" spans="1:11" x14ac:dyDescent="0.25">
      <c r="A675" s="8" t="s">
        <v>335</v>
      </c>
      <c r="B675" s="8">
        <v>272420</v>
      </c>
      <c r="C675" s="8" t="s">
        <v>335</v>
      </c>
      <c r="D675" s="8" t="s">
        <v>2106</v>
      </c>
      <c r="E675">
        <f t="shared" si="20"/>
        <v>6000000672</v>
      </c>
      <c r="F675">
        <v>6</v>
      </c>
      <c r="J675">
        <f t="shared" si="21"/>
        <v>20000000671</v>
      </c>
      <c r="K675">
        <v>672</v>
      </c>
    </row>
    <row r="676" spans="1:11" x14ac:dyDescent="0.25">
      <c r="A676" s="8" t="s">
        <v>335</v>
      </c>
      <c r="B676" s="8">
        <v>282920</v>
      </c>
      <c r="C676" s="8" t="s">
        <v>335</v>
      </c>
      <c r="D676" s="8" t="s">
        <v>2107</v>
      </c>
      <c r="E676">
        <f t="shared" si="20"/>
        <v>6000000673</v>
      </c>
      <c r="F676">
        <v>6</v>
      </c>
      <c r="J676">
        <f t="shared" si="21"/>
        <v>20000000672</v>
      </c>
      <c r="K676">
        <v>673</v>
      </c>
    </row>
    <row r="677" spans="1:11" x14ac:dyDescent="0.25">
      <c r="A677" s="8" t="s">
        <v>335</v>
      </c>
      <c r="B677" s="8" t="s">
        <v>1447</v>
      </c>
      <c r="C677" s="8" t="s">
        <v>335</v>
      </c>
      <c r="D677" s="8" t="s">
        <v>2108</v>
      </c>
      <c r="E677">
        <f t="shared" si="20"/>
        <v>6000000674</v>
      </c>
      <c r="F677">
        <v>6</v>
      </c>
      <c r="J677">
        <f t="shared" si="21"/>
        <v>20000000673</v>
      </c>
      <c r="K677">
        <v>674</v>
      </c>
    </row>
    <row r="678" spans="1:11" x14ac:dyDescent="0.25">
      <c r="A678" s="8" t="s">
        <v>335</v>
      </c>
      <c r="B678" s="8">
        <v>290420</v>
      </c>
      <c r="C678" s="8" t="s">
        <v>335</v>
      </c>
      <c r="D678" s="8" t="s">
        <v>2109</v>
      </c>
      <c r="E678">
        <f t="shared" si="20"/>
        <v>6000000675</v>
      </c>
      <c r="F678">
        <v>6</v>
      </c>
      <c r="J678">
        <f t="shared" si="21"/>
        <v>20000000674</v>
      </c>
      <c r="K678">
        <v>675</v>
      </c>
    </row>
    <row r="679" spans="1:11" x14ac:dyDescent="0.25">
      <c r="A679" s="8" t="s">
        <v>335</v>
      </c>
      <c r="B679" s="8">
        <v>48005184</v>
      </c>
      <c r="C679" s="8" t="s">
        <v>335</v>
      </c>
      <c r="D679" s="8" t="s">
        <v>2110</v>
      </c>
      <c r="E679">
        <f t="shared" si="20"/>
        <v>6000000676</v>
      </c>
      <c r="F679">
        <v>6</v>
      </c>
      <c r="J679">
        <f t="shared" si="21"/>
        <v>20000000675</v>
      </c>
      <c r="K679">
        <v>676</v>
      </c>
    </row>
    <row r="680" spans="1:11" x14ac:dyDescent="0.25">
      <c r="A680" s="8" t="s">
        <v>335</v>
      </c>
      <c r="B680" s="8">
        <v>48005188</v>
      </c>
      <c r="C680" s="8" t="s">
        <v>335</v>
      </c>
      <c r="D680" s="8" t="s">
        <v>2111</v>
      </c>
      <c r="E680">
        <f t="shared" si="20"/>
        <v>6000000677</v>
      </c>
      <c r="F680">
        <v>6</v>
      </c>
      <c r="J680">
        <f t="shared" si="21"/>
        <v>20000000676</v>
      </c>
      <c r="K680">
        <v>677</v>
      </c>
    </row>
    <row r="681" spans="1:11" x14ac:dyDescent="0.25">
      <c r="A681" s="8" t="s">
        <v>335</v>
      </c>
      <c r="B681" s="8">
        <v>48005706</v>
      </c>
      <c r="C681" s="8" t="s">
        <v>335</v>
      </c>
      <c r="D681" s="8" t="s">
        <v>2112</v>
      </c>
      <c r="E681">
        <f t="shared" si="20"/>
        <v>6000000678</v>
      </c>
      <c r="F681">
        <v>6</v>
      </c>
      <c r="J681">
        <f t="shared" si="21"/>
        <v>20000000677</v>
      </c>
      <c r="K681">
        <v>678</v>
      </c>
    </row>
    <row r="682" spans="1:11" x14ac:dyDescent="0.25">
      <c r="A682" s="8" t="s">
        <v>335</v>
      </c>
      <c r="B682" s="8">
        <v>48005786</v>
      </c>
      <c r="C682" s="8" t="s">
        <v>335</v>
      </c>
      <c r="D682" s="8" t="s">
        <v>2113</v>
      </c>
      <c r="E682">
        <f t="shared" si="20"/>
        <v>6000000679</v>
      </c>
      <c r="F682">
        <v>6</v>
      </c>
      <c r="J682">
        <f t="shared" si="21"/>
        <v>20000000678</v>
      </c>
      <c r="K682">
        <v>679</v>
      </c>
    </row>
    <row r="683" spans="1:11" x14ac:dyDescent="0.25">
      <c r="A683" s="8" t="s">
        <v>335</v>
      </c>
      <c r="B683" s="8">
        <v>48005790</v>
      </c>
      <c r="C683" s="8" t="s">
        <v>335</v>
      </c>
      <c r="D683" s="8" t="s">
        <v>2114</v>
      </c>
      <c r="E683">
        <f t="shared" si="20"/>
        <v>6000000680</v>
      </c>
      <c r="F683">
        <v>6</v>
      </c>
      <c r="J683">
        <f t="shared" si="21"/>
        <v>20000000679</v>
      </c>
      <c r="K683">
        <v>680</v>
      </c>
    </row>
    <row r="684" spans="1:11" x14ac:dyDescent="0.25">
      <c r="A684" s="8" t="s">
        <v>335</v>
      </c>
      <c r="B684" s="8">
        <v>48111850</v>
      </c>
      <c r="C684" s="8" t="s">
        <v>335</v>
      </c>
      <c r="D684" s="8" t="s">
        <v>2115</v>
      </c>
      <c r="E684">
        <f t="shared" si="20"/>
        <v>6000000681</v>
      </c>
      <c r="F684">
        <v>6</v>
      </c>
      <c r="J684">
        <f t="shared" si="21"/>
        <v>20000000680</v>
      </c>
      <c r="K684">
        <v>681</v>
      </c>
    </row>
    <row r="685" spans="1:11" x14ac:dyDescent="0.25">
      <c r="A685" s="8" t="s">
        <v>335</v>
      </c>
      <c r="B685" s="8">
        <v>48221501</v>
      </c>
      <c r="C685" s="8" t="s">
        <v>335</v>
      </c>
      <c r="D685" s="8" t="s">
        <v>2116</v>
      </c>
      <c r="E685">
        <f t="shared" si="20"/>
        <v>6000000682</v>
      </c>
      <c r="F685">
        <v>6</v>
      </c>
      <c r="J685">
        <f t="shared" si="21"/>
        <v>20000000681</v>
      </c>
      <c r="K685">
        <v>682</v>
      </c>
    </row>
    <row r="686" spans="1:11" x14ac:dyDescent="0.25">
      <c r="A686" s="8" t="s">
        <v>335</v>
      </c>
      <c r="B686" s="8">
        <v>48224195</v>
      </c>
      <c r="C686" s="8" t="s">
        <v>335</v>
      </c>
      <c r="D686" s="8" t="s">
        <v>2117</v>
      </c>
      <c r="E686">
        <f t="shared" si="20"/>
        <v>6000000683</v>
      </c>
      <c r="F686">
        <v>6</v>
      </c>
      <c r="J686">
        <f t="shared" si="21"/>
        <v>20000000682</v>
      </c>
      <c r="K686">
        <v>683</v>
      </c>
    </row>
    <row r="687" spans="1:11" x14ac:dyDescent="0.25">
      <c r="A687" s="8" t="s">
        <v>335</v>
      </c>
      <c r="B687" s="8">
        <v>48224197</v>
      </c>
      <c r="C687" s="8" t="s">
        <v>335</v>
      </c>
      <c r="D687" s="8" t="s">
        <v>2118</v>
      </c>
      <c r="E687">
        <f t="shared" si="20"/>
        <v>6000000684</v>
      </c>
      <c r="F687">
        <v>6</v>
      </c>
      <c r="J687">
        <f t="shared" si="21"/>
        <v>20000000683</v>
      </c>
      <c r="K687">
        <v>684</v>
      </c>
    </row>
    <row r="688" spans="1:11" x14ac:dyDescent="0.25">
      <c r="A688" s="8" t="s">
        <v>335</v>
      </c>
      <c r="B688" s="8">
        <v>48228902</v>
      </c>
      <c r="C688" s="8" t="s">
        <v>335</v>
      </c>
      <c r="D688" s="8" t="s">
        <v>2119</v>
      </c>
      <c r="E688">
        <f t="shared" si="20"/>
        <v>6000000685</v>
      </c>
      <c r="F688">
        <v>6</v>
      </c>
      <c r="J688">
        <f t="shared" si="21"/>
        <v>20000000684</v>
      </c>
      <c r="K688">
        <v>685</v>
      </c>
    </row>
    <row r="689" spans="1:11" x14ac:dyDescent="0.25">
      <c r="A689" s="8" t="s">
        <v>335</v>
      </c>
      <c r="B689" s="8">
        <v>48228903</v>
      </c>
      <c r="C689" s="8" t="s">
        <v>335</v>
      </c>
      <c r="D689" s="8" t="s">
        <v>2120</v>
      </c>
      <c r="E689">
        <f t="shared" si="20"/>
        <v>6000000686</v>
      </c>
      <c r="F689">
        <v>6</v>
      </c>
      <c r="J689">
        <f t="shared" si="21"/>
        <v>20000000685</v>
      </c>
      <c r="K689">
        <v>686</v>
      </c>
    </row>
    <row r="690" spans="1:11" x14ac:dyDescent="0.25">
      <c r="A690" s="8" t="s">
        <v>335</v>
      </c>
      <c r="B690" s="8">
        <v>48228932</v>
      </c>
      <c r="C690" s="8" t="s">
        <v>335</v>
      </c>
      <c r="D690" s="8" t="s">
        <v>2121</v>
      </c>
      <c r="E690">
        <f t="shared" si="20"/>
        <v>6000000687</v>
      </c>
      <c r="F690">
        <v>6</v>
      </c>
      <c r="J690">
        <f t="shared" si="21"/>
        <v>20000000686</v>
      </c>
      <c r="K690">
        <v>687</v>
      </c>
    </row>
    <row r="691" spans="1:11" x14ac:dyDescent="0.25">
      <c r="A691" s="8" t="s">
        <v>335</v>
      </c>
      <c r="B691" s="8">
        <v>48228933</v>
      </c>
      <c r="C691" s="8" t="s">
        <v>335</v>
      </c>
      <c r="D691" s="8" t="s">
        <v>2122</v>
      </c>
      <c r="E691">
        <f t="shared" si="20"/>
        <v>6000000688</v>
      </c>
      <c r="F691">
        <v>6</v>
      </c>
      <c r="J691">
        <f t="shared" si="21"/>
        <v>20000000687</v>
      </c>
      <c r="K691">
        <v>688</v>
      </c>
    </row>
    <row r="692" spans="1:11" x14ac:dyDescent="0.25">
      <c r="A692" s="8" t="s">
        <v>335</v>
      </c>
      <c r="B692" s="8">
        <v>48324532</v>
      </c>
      <c r="C692" s="8" t="s">
        <v>335</v>
      </c>
      <c r="D692" s="8" t="s">
        <v>2123</v>
      </c>
      <c r="E692">
        <f t="shared" si="20"/>
        <v>6000000689</v>
      </c>
      <c r="F692">
        <v>6</v>
      </c>
      <c r="J692">
        <f t="shared" si="21"/>
        <v>20000000688</v>
      </c>
      <c r="K692">
        <v>689</v>
      </c>
    </row>
    <row r="693" spans="1:11" x14ac:dyDescent="0.25">
      <c r="A693" s="8" t="s">
        <v>335</v>
      </c>
      <c r="B693" s="8">
        <v>48390529</v>
      </c>
      <c r="C693" s="8" t="s">
        <v>335</v>
      </c>
      <c r="D693" s="8" t="s">
        <v>2124</v>
      </c>
      <c r="E693">
        <f t="shared" si="20"/>
        <v>6000000690</v>
      </c>
      <c r="F693">
        <v>6</v>
      </c>
      <c r="J693">
        <f t="shared" si="21"/>
        <v>20000000689</v>
      </c>
      <c r="K693">
        <v>690</v>
      </c>
    </row>
    <row r="694" spans="1:11" x14ac:dyDescent="0.25">
      <c r="A694" s="8" t="s">
        <v>335</v>
      </c>
      <c r="B694" s="8">
        <v>48390572</v>
      </c>
      <c r="C694" s="8" t="s">
        <v>335</v>
      </c>
      <c r="D694" s="8" t="s">
        <v>2125</v>
      </c>
      <c r="E694">
        <f t="shared" si="20"/>
        <v>6000000691</v>
      </c>
      <c r="F694">
        <v>6</v>
      </c>
      <c r="J694">
        <f t="shared" si="21"/>
        <v>20000000690</v>
      </c>
      <c r="K694">
        <v>691</v>
      </c>
    </row>
    <row r="695" spans="1:11" x14ac:dyDescent="0.25">
      <c r="A695" s="8" t="s">
        <v>335</v>
      </c>
      <c r="B695" s="8">
        <v>48390609</v>
      </c>
      <c r="C695" s="8" t="s">
        <v>335</v>
      </c>
      <c r="D695" s="8" t="s">
        <v>2126</v>
      </c>
      <c r="E695">
        <f t="shared" si="20"/>
        <v>6000000692</v>
      </c>
      <c r="F695">
        <v>6</v>
      </c>
      <c r="J695">
        <f t="shared" si="21"/>
        <v>20000000691</v>
      </c>
      <c r="K695">
        <v>692</v>
      </c>
    </row>
    <row r="696" spans="1:11" x14ac:dyDescent="0.25">
      <c r="A696" s="8" t="s">
        <v>335</v>
      </c>
      <c r="B696" s="8">
        <v>48892771</v>
      </c>
      <c r="C696" s="8" t="s">
        <v>335</v>
      </c>
      <c r="D696" s="8" t="s">
        <v>2127</v>
      </c>
      <c r="E696">
        <f t="shared" si="20"/>
        <v>6000000693</v>
      </c>
      <c r="F696">
        <v>6</v>
      </c>
      <c r="J696">
        <f t="shared" si="21"/>
        <v>20000000692</v>
      </c>
      <c r="K696">
        <v>693</v>
      </c>
    </row>
    <row r="697" spans="1:11" x14ac:dyDescent="0.25">
      <c r="A697" s="8" t="s">
        <v>335</v>
      </c>
      <c r="B697" s="8">
        <v>48892772</v>
      </c>
      <c r="C697" s="8" t="s">
        <v>335</v>
      </c>
      <c r="D697" s="8" t="s">
        <v>2128</v>
      </c>
      <c r="E697">
        <f t="shared" si="20"/>
        <v>6000000694</v>
      </c>
      <c r="F697">
        <v>6</v>
      </c>
      <c r="J697">
        <f t="shared" si="21"/>
        <v>20000000693</v>
      </c>
      <c r="K697">
        <v>694</v>
      </c>
    </row>
    <row r="698" spans="1:11" x14ac:dyDescent="0.25">
      <c r="A698" s="8" t="s">
        <v>335</v>
      </c>
      <c r="B698" s="8">
        <v>48894611</v>
      </c>
      <c r="C698" s="8" t="s">
        <v>335</v>
      </c>
      <c r="D698" s="8" t="s">
        <v>2129</v>
      </c>
      <c r="E698">
        <f t="shared" si="20"/>
        <v>6000000695</v>
      </c>
      <c r="F698">
        <v>6</v>
      </c>
      <c r="J698">
        <f t="shared" si="21"/>
        <v>20000000694</v>
      </c>
      <c r="K698">
        <v>695</v>
      </c>
    </row>
    <row r="699" spans="1:11" x14ac:dyDescent="0.25">
      <c r="A699" s="8" t="s">
        <v>335</v>
      </c>
      <c r="B699" s="8">
        <v>48899212</v>
      </c>
      <c r="C699" s="8" t="s">
        <v>335</v>
      </c>
      <c r="D699" s="8" t="s">
        <v>2130</v>
      </c>
      <c r="E699">
        <f t="shared" si="20"/>
        <v>6000000696</v>
      </c>
      <c r="F699">
        <v>6</v>
      </c>
      <c r="J699">
        <f t="shared" si="21"/>
        <v>20000000695</v>
      </c>
      <c r="K699">
        <v>696</v>
      </c>
    </row>
    <row r="700" spans="1:11" x14ac:dyDescent="0.25">
      <c r="A700" s="8" t="s">
        <v>335</v>
      </c>
      <c r="B700" s="8">
        <v>49224095</v>
      </c>
      <c r="C700" s="8" t="s">
        <v>335</v>
      </c>
      <c r="D700" s="8" t="s">
        <v>2131</v>
      </c>
      <c r="E700">
        <f t="shared" si="20"/>
        <v>6000000697</v>
      </c>
      <c r="F700">
        <v>6</v>
      </c>
      <c r="J700">
        <f t="shared" si="21"/>
        <v>20000000696</v>
      </c>
      <c r="K700">
        <v>697</v>
      </c>
    </row>
    <row r="701" spans="1:11" x14ac:dyDescent="0.25">
      <c r="A701" s="8" t="s">
        <v>335</v>
      </c>
      <c r="B701" s="8">
        <v>49565620</v>
      </c>
      <c r="C701" s="8" t="s">
        <v>335</v>
      </c>
      <c r="D701" s="8" t="s">
        <v>2132</v>
      </c>
      <c r="E701">
        <f t="shared" si="20"/>
        <v>6000000698</v>
      </c>
      <c r="F701">
        <v>6</v>
      </c>
      <c r="J701">
        <f t="shared" si="21"/>
        <v>20000000697</v>
      </c>
      <c r="K701">
        <v>698</v>
      </c>
    </row>
    <row r="702" spans="1:11" x14ac:dyDescent="0.25">
      <c r="A702" s="8" t="s">
        <v>335</v>
      </c>
      <c r="B702" s="8">
        <v>49567135</v>
      </c>
      <c r="C702" s="8" t="s">
        <v>335</v>
      </c>
      <c r="D702" s="8" t="s">
        <v>2133</v>
      </c>
      <c r="E702">
        <f t="shared" si="20"/>
        <v>6000000699</v>
      </c>
      <c r="F702">
        <v>6</v>
      </c>
      <c r="J702">
        <f t="shared" si="21"/>
        <v>20000000698</v>
      </c>
      <c r="K702">
        <v>699</v>
      </c>
    </row>
    <row r="703" spans="1:11" x14ac:dyDescent="0.25">
      <c r="A703" s="8" t="s">
        <v>335</v>
      </c>
      <c r="B703" s="8">
        <v>49666120</v>
      </c>
      <c r="C703" s="8" t="s">
        <v>335</v>
      </c>
      <c r="D703" s="8" t="s">
        <v>2134</v>
      </c>
      <c r="E703">
        <f t="shared" si="20"/>
        <v>6000000700</v>
      </c>
      <c r="F703">
        <v>6</v>
      </c>
      <c r="J703">
        <f t="shared" si="21"/>
        <v>20000000699</v>
      </c>
      <c r="K703">
        <v>700</v>
      </c>
    </row>
    <row r="704" spans="1:11" x14ac:dyDescent="0.25">
      <c r="A704" s="8" t="s">
        <v>335</v>
      </c>
      <c r="B704" s="8">
        <v>49666155</v>
      </c>
      <c r="C704" s="8" t="s">
        <v>335</v>
      </c>
      <c r="D704" s="8" t="s">
        <v>2135</v>
      </c>
      <c r="E704">
        <f t="shared" si="20"/>
        <v>6000000701</v>
      </c>
      <c r="F704">
        <v>6</v>
      </c>
      <c r="J704">
        <f t="shared" si="21"/>
        <v>20000000700</v>
      </c>
      <c r="K704">
        <v>701</v>
      </c>
    </row>
    <row r="705" spans="1:11" x14ac:dyDescent="0.25">
      <c r="A705" s="8" t="s">
        <v>335</v>
      </c>
      <c r="B705" s="8">
        <v>49666222</v>
      </c>
      <c r="C705" s="8" t="s">
        <v>335</v>
      </c>
      <c r="D705" s="8" t="s">
        <v>2136</v>
      </c>
      <c r="E705">
        <f t="shared" si="20"/>
        <v>6000000702</v>
      </c>
      <c r="F705">
        <v>6</v>
      </c>
      <c r="J705">
        <f t="shared" si="21"/>
        <v>20000000701</v>
      </c>
      <c r="K705">
        <v>702</v>
      </c>
    </row>
    <row r="706" spans="1:11" x14ac:dyDescent="0.25">
      <c r="A706" s="8" t="s">
        <v>336</v>
      </c>
      <c r="B706" s="8" t="s">
        <v>802</v>
      </c>
      <c r="C706" s="8" t="s">
        <v>336</v>
      </c>
      <c r="D706" s="8" t="s">
        <v>2137</v>
      </c>
      <c r="E706">
        <f t="shared" si="20"/>
        <v>2000000703</v>
      </c>
      <c r="F706">
        <v>2</v>
      </c>
      <c r="J706">
        <f t="shared" si="21"/>
        <v>20000000702</v>
      </c>
      <c r="K706">
        <v>703</v>
      </c>
    </row>
    <row r="707" spans="1:11" x14ac:dyDescent="0.25">
      <c r="A707" s="8" t="s">
        <v>336</v>
      </c>
      <c r="B707" s="8" t="s">
        <v>337</v>
      </c>
      <c r="C707" s="8" t="s">
        <v>336</v>
      </c>
      <c r="D707" s="8" t="s">
        <v>2138</v>
      </c>
      <c r="E707">
        <f t="shared" si="20"/>
        <v>6000000704</v>
      </c>
      <c r="F707">
        <v>6</v>
      </c>
      <c r="J707">
        <f t="shared" si="21"/>
        <v>20000000703</v>
      </c>
      <c r="K707">
        <v>704</v>
      </c>
    </row>
    <row r="708" spans="1:11" x14ac:dyDescent="0.25">
      <c r="A708" s="8" t="s">
        <v>338</v>
      </c>
      <c r="B708" s="8" t="s">
        <v>682</v>
      </c>
      <c r="C708" s="8" t="s">
        <v>338</v>
      </c>
      <c r="D708" s="8" t="s">
        <v>2139</v>
      </c>
      <c r="E708">
        <f t="shared" si="20"/>
        <v>2000000705</v>
      </c>
      <c r="F708">
        <v>2</v>
      </c>
      <c r="J708">
        <f t="shared" si="21"/>
        <v>20000000704</v>
      </c>
      <c r="K708">
        <v>705</v>
      </c>
    </row>
    <row r="709" spans="1:11" x14ac:dyDescent="0.25">
      <c r="A709" s="8" t="s">
        <v>338</v>
      </c>
      <c r="B709" s="8" t="s">
        <v>1176</v>
      </c>
      <c r="C709" s="8" t="s">
        <v>338</v>
      </c>
      <c r="D709" s="8" t="s">
        <v>2140</v>
      </c>
      <c r="E709">
        <f t="shared" ref="E709:E772" si="22">IF(F709="",J709,IF(G709="",F709*$F$2+K709,IF(H709="",F709*$F$2+G709*$G$2+K709,IF(I709="",F709*$F$2+G709*$G$2+H709*$H$2+K709,F709*$F$2+G709*$G$2+H709*$H$2+I709*$I$2+K709))))</f>
        <v>2000000706</v>
      </c>
      <c r="F709">
        <v>2</v>
      </c>
      <c r="J709">
        <f t="shared" si="21"/>
        <v>20000000705</v>
      </c>
      <c r="K709">
        <v>706</v>
      </c>
    </row>
    <row r="710" spans="1:11" x14ac:dyDescent="0.25">
      <c r="A710" s="8" t="s">
        <v>338</v>
      </c>
      <c r="B710" s="8" t="s">
        <v>1177</v>
      </c>
      <c r="C710" s="8" t="s">
        <v>338</v>
      </c>
      <c r="D710" s="8" t="s">
        <v>2141</v>
      </c>
      <c r="E710">
        <f t="shared" si="22"/>
        <v>2000000707</v>
      </c>
      <c r="F710">
        <v>2</v>
      </c>
      <c r="J710">
        <f t="shared" si="21"/>
        <v>20000000706</v>
      </c>
      <c r="K710">
        <v>707</v>
      </c>
    </row>
    <row r="711" spans="1:11" x14ac:dyDescent="0.25">
      <c r="A711" s="8" t="s">
        <v>1022</v>
      </c>
      <c r="B711" s="8" t="s">
        <v>1448</v>
      </c>
      <c r="C711" s="8" t="s">
        <v>1022</v>
      </c>
      <c r="D711" s="8" t="s">
        <v>2142</v>
      </c>
      <c r="E711">
        <f t="shared" si="22"/>
        <v>2000000708</v>
      </c>
      <c r="F711">
        <v>2</v>
      </c>
      <c r="J711">
        <f t="shared" si="21"/>
        <v>20000000707</v>
      </c>
      <c r="K711">
        <v>708</v>
      </c>
    </row>
    <row r="712" spans="1:11" x14ac:dyDescent="0.25">
      <c r="A712" s="8" t="s">
        <v>1022</v>
      </c>
      <c r="B712" s="8" t="s">
        <v>1178</v>
      </c>
      <c r="C712" s="8" t="s">
        <v>1022</v>
      </c>
      <c r="D712" s="8" t="s">
        <v>2143</v>
      </c>
      <c r="E712">
        <f t="shared" si="22"/>
        <v>2000000709</v>
      </c>
      <c r="F712">
        <v>2</v>
      </c>
      <c r="J712">
        <f t="shared" si="21"/>
        <v>20000000708</v>
      </c>
      <c r="K712">
        <v>709</v>
      </c>
    </row>
    <row r="713" spans="1:11" x14ac:dyDescent="0.25">
      <c r="A713" s="8" t="s">
        <v>1022</v>
      </c>
      <c r="B713" s="8" t="s">
        <v>1449</v>
      </c>
      <c r="C713" s="8" t="s">
        <v>1022</v>
      </c>
      <c r="D713" s="8" t="s">
        <v>2144</v>
      </c>
      <c r="E713">
        <f t="shared" si="22"/>
        <v>2000000710</v>
      </c>
      <c r="F713">
        <v>2</v>
      </c>
      <c r="J713">
        <f t="shared" ref="J713:J776" si="23">J712+1</f>
        <v>20000000709</v>
      </c>
      <c r="K713">
        <v>710</v>
      </c>
    </row>
    <row r="714" spans="1:11" x14ac:dyDescent="0.25">
      <c r="A714" s="8" t="s">
        <v>339</v>
      </c>
      <c r="B714" s="8" t="s">
        <v>340</v>
      </c>
      <c r="C714" s="8" t="s">
        <v>339</v>
      </c>
      <c r="D714" s="8" t="s">
        <v>2145</v>
      </c>
      <c r="E714">
        <f t="shared" si="22"/>
        <v>6000000711</v>
      </c>
      <c r="F714">
        <v>6</v>
      </c>
      <c r="J714">
        <f t="shared" si="23"/>
        <v>20000000710</v>
      </c>
      <c r="K714">
        <v>711</v>
      </c>
    </row>
    <row r="715" spans="1:11" x14ac:dyDescent="0.25">
      <c r="A715" s="8" t="s">
        <v>339</v>
      </c>
      <c r="B715" s="8" t="s">
        <v>341</v>
      </c>
      <c r="C715" s="8" t="s">
        <v>339</v>
      </c>
      <c r="D715" s="8" t="s">
        <v>2146</v>
      </c>
      <c r="E715">
        <f t="shared" si="22"/>
        <v>6000000712</v>
      </c>
      <c r="F715">
        <v>6</v>
      </c>
      <c r="J715">
        <f t="shared" si="23"/>
        <v>20000000711</v>
      </c>
      <c r="K715">
        <v>712</v>
      </c>
    </row>
    <row r="716" spans="1:11" x14ac:dyDescent="0.25">
      <c r="A716" s="8" t="s">
        <v>339</v>
      </c>
      <c r="B716" s="8">
        <v>32.001800000000003</v>
      </c>
      <c r="C716" s="8" t="s">
        <v>339</v>
      </c>
      <c r="D716" s="8" t="s">
        <v>2147</v>
      </c>
      <c r="E716">
        <f t="shared" si="22"/>
        <v>6000000713</v>
      </c>
      <c r="F716">
        <v>6</v>
      </c>
      <c r="J716">
        <f t="shared" si="23"/>
        <v>20000000712</v>
      </c>
      <c r="K716">
        <v>713</v>
      </c>
    </row>
    <row r="717" spans="1:11" x14ac:dyDescent="0.25">
      <c r="A717" s="8" t="s">
        <v>339</v>
      </c>
      <c r="B717" s="8">
        <v>32.001899999999999</v>
      </c>
      <c r="C717" s="8" t="s">
        <v>339</v>
      </c>
      <c r="D717" s="8" t="s">
        <v>2148</v>
      </c>
      <c r="E717">
        <f t="shared" si="22"/>
        <v>6000000714</v>
      </c>
      <c r="F717">
        <v>6</v>
      </c>
      <c r="J717">
        <f t="shared" si="23"/>
        <v>20000000713</v>
      </c>
      <c r="K717">
        <v>714</v>
      </c>
    </row>
    <row r="718" spans="1:11" x14ac:dyDescent="0.25">
      <c r="A718" s="8" t="s">
        <v>339</v>
      </c>
      <c r="B718" s="8">
        <v>32.602400000000003</v>
      </c>
      <c r="C718" s="8" t="s">
        <v>339</v>
      </c>
      <c r="D718" s="8" t="s">
        <v>2149</v>
      </c>
      <c r="E718">
        <f t="shared" si="22"/>
        <v>6000000715</v>
      </c>
      <c r="F718">
        <v>6</v>
      </c>
      <c r="J718">
        <f t="shared" si="23"/>
        <v>20000000714</v>
      </c>
      <c r="K718">
        <v>715</v>
      </c>
    </row>
    <row r="719" spans="1:11" x14ac:dyDescent="0.25">
      <c r="A719" s="8" t="s">
        <v>339</v>
      </c>
      <c r="B719" s="8" t="s">
        <v>1450</v>
      </c>
      <c r="C719" s="8" t="s">
        <v>339</v>
      </c>
      <c r="D719" s="8" t="s">
        <v>2150</v>
      </c>
      <c r="E719">
        <f t="shared" si="22"/>
        <v>6000000716</v>
      </c>
      <c r="F719">
        <v>6</v>
      </c>
      <c r="J719">
        <f t="shared" si="23"/>
        <v>20000000715</v>
      </c>
      <c r="K719">
        <v>716</v>
      </c>
    </row>
    <row r="720" spans="1:11" x14ac:dyDescent="0.25">
      <c r="A720" s="8" t="s">
        <v>803</v>
      </c>
      <c r="B720" s="8" t="s">
        <v>966</v>
      </c>
      <c r="C720" s="8" t="s">
        <v>803</v>
      </c>
      <c r="D720" s="8" t="s">
        <v>2151</v>
      </c>
      <c r="E720">
        <f t="shared" si="22"/>
        <v>4000000717</v>
      </c>
      <c r="F720">
        <v>4</v>
      </c>
      <c r="J720">
        <f t="shared" si="23"/>
        <v>20000000716</v>
      </c>
      <c r="K720">
        <v>717</v>
      </c>
    </row>
    <row r="721" spans="1:11" x14ac:dyDescent="0.25">
      <c r="A721" s="8" t="s">
        <v>803</v>
      </c>
      <c r="B721" s="8" t="s">
        <v>1179</v>
      </c>
      <c r="C721" s="8" t="s">
        <v>803</v>
      </c>
      <c r="D721" s="8" t="s">
        <v>2152</v>
      </c>
      <c r="E721">
        <f t="shared" si="22"/>
        <v>4000000718</v>
      </c>
      <c r="F721">
        <v>4</v>
      </c>
      <c r="J721">
        <f t="shared" si="23"/>
        <v>20000000717</v>
      </c>
      <c r="K721">
        <v>718</v>
      </c>
    </row>
    <row r="722" spans="1:11" x14ac:dyDescent="0.25">
      <c r="A722" s="8" t="s">
        <v>803</v>
      </c>
      <c r="B722" s="8" t="s">
        <v>1180</v>
      </c>
      <c r="C722" s="8" t="s">
        <v>803</v>
      </c>
      <c r="D722" s="8" t="s">
        <v>2153</v>
      </c>
      <c r="E722">
        <f t="shared" si="22"/>
        <v>4000000719</v>
      </c>
      <c r="F722">
        <v>4</v>
      </c>
      <c r="J722">
        <f t="shared" si="23"/>
        <v>20000000718</v>
      </c>
      <c r="K722">
        <v>719</v>
      </c>
    </row>
    <row r="723" spans="1:11" x14ac:dyDescent="0.25">
      <c r="A723" s="8" t="s">
        <v>803</v>
      </c>
      <c r="B723" s="8" t="s">
        <v>1181</v>
      </c>
      <c r="C723" s="8" t="s">
        <v>803</v>
      </c>
      <c r="D723" s="8" t="s">
        <v>2154</v>
      </c>
      <c r="E723">
        <f t="shared" si="22"/>
        <v>4000000720</v>
      </c>
      <c r="F723">
        <v>4</v>
      </c>
      <c r="J723">
        <f t="shared" si="23"/>
        <v>20000000719</v>
      </c>
      <c r="K723">
        <v>720</v>
      </c>
    </row>
    <row r="724" spans="1:11" x14ac:dyDescent="0.25">
      <c r="A724" s="8" t="s">
        <v>803</v>
      </c>
      <c r="B724" s="8" t="s">
        <v>1451</v>
      </c>
      <c r="C724" s="8" t="s">
        <v>803</v>
      </c>
      <c r="D724" s="8" t="s">
        <v>2155</v>
      </c>
      <c r="E724">
        <f t="shared" si="22"/>
        <v>4000000721</v>
      </c>
      <c r="F724">
        <v>4</v>
      </c>
      <c r="J724">
        <f t="shared" si="23"/>
        <v>20000000720</v>
      </c>
      <c r="K724">
        <v>721</v>
      </c>
    </row>
    <row r="725" spans="1:11" x14ac:dyDescent="0.25">
      <c r="A725" s="8" t="s">
        <v>803</v>
      </c>
      <c r="B725" s="8" t="s">
        <v>1452</v>
      </c>
      <c r="C725" s="8" t="s">
        <v>803</v>
      </c>
      <c r="D725" s="8" t="s">
        <v>2156</v>
      </c>
      <c r="E725">
        <f t="shared" si="22"/>
        <v>4000000722</v>
      </c>
      <c r="F725">
        <v>4</v>
      </c>
      <c r="J725">
        <f t="shared" si="23"/>
        <v>20000000721</v>
      </c>
      <c r="K725">
        <v>722</v>
      </c>
    </row>
    <row r="726" spans="1:11" x14ac:dyDescent="0.25">
      <c r="A726" s="8" t="s">
        <v>803</v>
      </c>
      <c r="B726" s="8" t="s">
        <v>1453</v>
      </c>
      <c r="C726" s="8" t="s">
        <v>803</v>
      </c>
      <c r="D726" s="8" t="s">
        <v>2157</v>
      </c>
      <c r="E726">
        <f t="shared" si="22"/>
        <v>4000000723</v>
      </c>
      <c r="F726">
        <v>4</v>
      </c>
      <c r="J726">
        <f t="shared" si="23"/>
        <v>20000000722</v>
      </c>
      <c r="K726">
        <v>723</v>
      </c>
    </row>
    <row r="727" spans="1:11" x14ac:dyDescent="0.25">
      <c r="A727" s="8" t="s">
        <v>803</v>
      </c>
      <c r="B727" s="8" t="s">
        <v>1454</v>
      </c>
      <c r="C727" s="8" t="s">
        <v>803</v>
      </c>
      <c r="D727" s="8" t="s">
        <v>2158</v>
      </c>
      <c r="E727">
        <f t="shared" si="22"/>
        <v>4000000724</v>
      </c>
      <c r="F727">
        <v>4</v>
      </c>
      <c r="J727">
        <f t="shared" si="23"/>
        <v>20000000723</v>
      </c>
      <c r="K727">
        <v>724</v>
      </c>
    </row>
    <row r="728" spans="1:11" x14ac:dyDescent="0.25">
      <c r="A728" s="8" t="s">
        <v>803</v>
      </c>
      <c r="B728" s="8" t="s">
        <v>1455</v>
      </c>
      <c r="C728" s="8" t="s">
        <v>803</v>
      </c>
      <c r="D728" s="8" t="s">
        <v>2159</v>
      </c>
      <c r="E728">
        <f t="shared" si="22"/>
        <v>4000000725</v>
      </c>
      <c r="F728">
        <v>4</v>
      </c>
      <c r="J728">
        <f t="shared" si="23"/>
        <v>20000000724</v>
      </c>
      <c r="K728">
        <v>725</v>
      </c>
    </row>
    <row r="729" spans="1:11" x14ac:dyDescent="0.25">
      <c r="A729" s="8" t="s">
        <v>803</v>
      </c>
      <c r="B729" s="8" t="s">
        <v>1456</v>
      </c>
      <c r="C729" s="8" t="s">
        <v>803</v>
      </c>
      <c r="D729" s="8" t="s">
        <v>2160</v>
      </c>
      <c r="E729">
        <f t="shared" si="22"/>
        <v>4000000726</v>
      </c>
      <c r="F729">
        <v>4</v>
      </c>
      <c r="J729">
        <f t="shared" si="23"/>
        <v>20000000725</v>
      </c>
      <c r="K729">
        <v>726</v>
      </c>
    </row>
    <row r="730" spans="1:11" x14ac:dyDescent="0.25">
      <c r="A730" s="8" t="s">
        <v>803</v>
      </c>
      <c r="B730" s="8" t="s">
        <v>1457</v>
      </c>
      <c r="C730" s="8" t="s">
        <v>803</v>
      </c>
      <c r="D730" s="8" t="s">
        <v>2161</v>
      </c>
      <c r="E730">
        <f t="shared" si="22"/>
        <v>4000000727</v>
      </c>
      <c r="F730">
        <v>4</v>
      </c>
      <c r="J730">
        <f t="shared" si="23"/>
        <v>20000000726</v>
      </c>
      <c r="K730">
        <v>727</v>
      </c>
    </row>
    <row r="731" spans="1:11" x14ac:dyDescent="0.25">
      <c r="A731" s="8" t="s">
        <v>803</v>
      </c>
      <c r="B731" s="8" t="s">
        <v>1182</v>
      </c>
      <c r="C731" s="8" t="s">
        <v>803</v>
      </c>
      <c r="D731" s="8" t="s">
        <v>2162</v>
      </c>
      <c r="E731">
        <f t="shared" si="22"/>
        <v>4000000728</v>
      </c>
      <c r="F731">
        <v>4</v>
      </c>
      <c r="J731">
        <f t="shared" si="23"/>
        <v>20000000727</v>
      </c>
      <c r="K731">
        <v>728</v>
      </c>
    </row>
    <row r="732" spans="1:11" x14ac:dyDescent="0.25">
      <c r="A732" s="8" t="s">
        <v>803</v>
      </c>
      <c r="B732" s="8" t="s">
        <v>1183</v>
      </c>
      <c r="C732" s="8" t="s">
        <v>803</v>
      </c>
      <c r="D732" s="8" t="s">
        <v>2163</v>
      </c>
      <c r="E732">
        <f t="shared" si="22"/>
        <v>4000000729</v>
      </c>
      <c r="F732">
        <v>4</v>
      </c>
      <c r="J732">
        <f t="shared" si="23"/>
        <v>20000000728</v>
      </c>
      <c r="K732">
        <v>729</v>
      </c>
    </row>
    <row r="733" spans="1:11" x14ac:dyDescent="0.25">
      <c r="A733" s="8" t="s">
        <v>803</v>
      </c>
      <c r="B733" s="8" t="s">
        <v>1184</v>
      </c>
      <c r="C733" s="8" t="s">
        <v>803</v>
      </c>
      <c r="D733" s="8" t="s">
        <v>2164</v>
      </c>
      <c r="E733">
        <f t="shared" si="22"/>
        <v>4000000730</v>
      </c>
      <c r="F733">
        <v>4</v>
      </c>
      <c r="J733">
        <f t="shared" si="23"/>
        <v>20000000729</v>
      </c>
      <c r="K733">
        <v>730</v>
      </c>
    </row>
    <row r="734" spans="1:11" x14ac:dyDescent="0.25">
      <c r="A734" s="8" t="s">
        <v>803</v>
      </c>
      <c r="B734" s="8" t="s">
        <v>1458</v>
      </c>
      <c r="C734" s="8" t="s">
        <v>803</v>
      </c>
      <c r="D734" s="8" t="s">
        <v>2165</v>
      </c>
      <c r="E734">
        <f t="shared" si="22"/>
        <v>4000000731</v>
      </c>
      <c r="F734">
        <v>4</v>
      </c>
      <c r="J734">
        <f t="shared" si="23"/>
        <v>20000000730</v>
      </c>
      <c r="K734">
        <v>731</v>
      </c>
    </row>
    <row r="735" spans="1:11" x14ac:dyDescent="0.25">
      <c r="A735" s="8" t="s">
        <v>803</v>
      </c>
      <c r="B735" s="8" t="s">
        <v>1185</v>
      </c>
      <c r="C735" s="8" t="s">
        <v>803</v>
      </c>
      <c r="D735" s="8" t="s">
        <v>2166</v>
      </c>
      <c r="E735">
        <f t="shared" si="22"/>
        <v>4000000732</v>
      </c>
      <c r="F735">
        <v>4</v>
      </c>
      <c r="J735">
        <f t="shared" si="23"/>
        <v>20000000731</v>
      </c>
      <c r="K735">
        <v>732</v>
      </c>
    </row>
    <row r="736" spans="1:11" x14ac:dyDescent="0.25">
      <c r="A736" s="8" t="s">
        <v>803</v>
      </c>
      <c r="B736" s="8" t="s">
        <v>1186</v>
      </c>
      <c r="C736" s="8" t="s">
        <v>803</v>
      </c>
      <c r="D736" s="8" t="s">
        <v>2167</v>
      </c>
      <c r="E736">
        <f t="shared" si="22"/>
        <v>4000000733</v>
      </c>
      <c r="F736">
        <v>4</v>
      </c>
      <c r="J736">
        <f t="shared" si="23"/>
        <v>20000000732</v>
      </c>
      <c r="K736">
        <v>733</v>
      </c>
    </row>
    <row r="737" spans="1:11" x14ac:dyDescent="0.25">
      <c r="A737" s="8" t="s">
        <v>803</v>
      </c>
      <c r="B737" s="8" t="s">
        <v>804</v>
      </c>
      <c r="C737" s="8" t="s">
        <v>803</v>
      </c>
      <c r="D737" s="8" t="s">
        <v>2168</v>
      </c>
      <c r="E737">
        <f t="shared" si="22"/>
        <v>4000000734</v>
      </c>
      <c r="F737">
        <v>4</v>
      </c>
      <c r="J737">
        <f t="shared" si="23"/>
        <v>20000000733</v>
      </c>
      <c r="K737">
        <v>734</v>
      </c>
    </row>
    <row r="738" spans="1:11" x14ac:dyDescent="0.25">
      <c r="A738" s="8" t="s">
        <v>803</v>
      </c>
      <c r="B738" s="8" t="s">
        <v>805</v>
      </c>
      <c r="C738" s="8" t="s">
        <v>803</v>
      </c>
      <c r="D738" s="8" t="s">
        <v>2169</v>
      </c>
      <c r="E738">
        <f t="shared" si="22"/>
        <v>4000000735</v>
      </c>
      <c r="F738">
        <v>4</v>
      </c>
      <c r="J738">
        <f t="shared" si="23"/>
        <v>20000000734</v>
      </c>
      <c r="K738">
        <v>735</v>
      </c>
    </row>
    <row r="739" spans="1:11" x14ac:dyDescent="0.25">
      <c r="A739" s="8" t="s">
        <v>803</v>
      </c>
      <c r="B739" s="8" t="s">
        <v>1459</v>
      </c>
      <c r="C739" s="8" t="s">
        <v>803</v>
      </c>
      <c r="D739" s="8" t="s">
        <v>2170</v>
      </c>
      <c r="E739">
        <f t="shared" si="22"/>
        <v>4000000736</v>
      </c>
      <c r="F739">
        <v>4</v>
      </c>
      <c r="J739">
        <f t="shared" si="23"/>
        <v>20000000735</v>
      </c>
      <c r="K739">
        <v>736</v>
      </c>
    </row>
    <row r="740" spans="1:11" x14ac:dyDescent="0.25">
      <c r="A740" s="8" t="s">
        <v>51</v>
      </c>
      <c r="B740" s="8">
        <v>11500</v>
      </c>
      <c r="C740" s="8" t="s">
        <v>51</v>
      </c>
      <c r="D740" s="8" t="s">
        <v>2171</v>
      </c>
      <c r="E740">
        <f t="shared" si="22"/>
        <v>6000000737</v>
      </c>
      <c r="F740">
        <v>6</v>
      </c>
      <c r="J740">
        <f t="shared" si="23"/>
        <v>20000000736</v>
      </c>
      <c r="K740">
        <v>737</v>
      </c>
    </row>
    <row r="741" spans="1:11" x14ac:dyDescent="0.25">
      <c r="A741" s="8" t="s">
        <v>51</v>
      </c>
      <c r="B741" s="8" t="s">
        <v>1187</v>
      </c>
      <c r="C741" s="8" t="s">
        <v>51</v>
      </c>
      <c r="D741" s="8" t="s">
        <v>2172</v>
      </c>
      <c r="E741">
        <f t="shared" si="22"/>
        <v>6000000738</v>
      </c>
      <c r="F741">
        <v>6</v>
      </c>
      <c r="J741">
        <f t="shared" si="23"/>
        <v>20000000737</v>
      </c>
      <c r="K741">
        <v>738</v>
      </c>
    </row>
    <row r="742" spans="1:11" x14ac:dyDescent="0.25">
      <c r="A742" s="8" t="s">
        <v>51</v>
      </c>
      <c r="B742" s="8" t="s">
        <v>967</v>
      </c>
      <c r="C742" s="8" t="s">
        <v>51</v>
      </c>
      <c r="D742" s="8" t="s">
        <v>2173</v>
      </c>
      <c r="E742">
        <f t="shared" si="22"/>
        <v>6000000739</v>
      </c>
      <c r="F742">
        <v>6</v>
      </c>
      <c r="J742">
        <f t="shared" si="23"/>
        <v>20000000738</v>
      </c>
      <c r="K742">
        <v>739</v>
      </c>
    </row>
    <row r="743" spans="1:11" x14ac:dyDescent="0.25">
      <c r="A743" s="8" t="s">
        <v>51</v>
      </c>
      <c r="B743" s="8" t="s">
        <v>345</v>
      </c>
      <c r="C743" s="8" t="s">
        <v>51</v>
      </c>
      <c r="D743" s="8" t="s">
        <v>2174</v>
      </c>
      <c r="E743">
        <f t="shared" si="22"/>
        <v>6000000740</v>
      </c>
      <c r="F743">
        <v>6</v>
      </c>
      <c r="J743">
        <f t="shared" si="23"/>
        <v>20000000739</v>
      </c>
      <c r="K743">
        <v>740</v>
      </c>
    </row>
    <row r="744" spans="1:11" x14ac:dyDescent="0.25">
      <c r="A744" s="8" t="s">
        <v>51</v>
      </c>
      <c r="B744" s="8" t="s">
        <v>346</v>
      </c>
      <c r="C744" s="8" t="s">
        <v>51</v>
      </c>
      <c r="D744" s="8" t="s">
        <v>2175</v>
      </c>
      <c r="E744">
        <f t="shared" si="22"/>
        <v>6000000741</v>
      </c>
      <c r="F744">
        <v>6</v>
      </c>
      <c r="J744">
        <f t="shared" si="23"/>
        <v>20000000740</v>
      </c>
      <c r="K744">
        <v>741</v>
      </c>
    </row>
    <row r="745" spans="1:11" x14ac:dyDescent="0.25">
      <c r="A745" s="8" t="s">
        <v>51</v>
      </c>
      <c r="B745" s="8" t="s">
        <v>347</v>
      </c>
      <c r="C745" s="8" t="s">
        <v>51</v>
      </c>
      <c r="D745" s="8" t="s">
        <v>2176</v>
      </c>
      <c r="E745">
        <f t="shared" si="22"/>
        <v>6000000742</v>
      </c>
      <c r="F745">
        <v>6</v>
      </c>
      <c r="J745">
        <f t="shared" si="23"/>
        <v>20000000741</v>
      </c>
      <c r="K745">
        <v>742</v>
      </c>
    </row>
    <row r="746" spans="1:11" x14ac:dyDescent="0.25">
      <c r="A746" s="8" t="s">
        <v>51</v>
      </c>
      <c r="B746" s="8" t="s">
        <v>1188</v>
      </c>
      <c r="C746" s="8" t="s">
        <v>51</v>
      </c>
      <c r="D746" s="8" t="s">
        <v>2177</v>
      </c>
      <c r="E746">
        <f t="shared" si="22"/>
        <v>6000000743</v>
      </c>
      <c r="F746">
        <v>6</v>
      </c>
      <c r="J746">
        <f t="shared" si="23"/>
        <v>20000000742</v>
      </c>
      <c r="K746">
        <v>743</v>
      </c>
    </row>
    <row r="747" spans="1:11" x14ac:dyDescent="0.25">
      <c r="A747" s="8" t="s">
        <v>51</v>
      </c>
      <c r="B747" s="8" t="s">
        <v>1189</v>
      </c>
      <c r="C747" s="8" t="s">
        <v>51</v>
      </c>
      <c r="D747" s="8" t="s">
        <v>2178</v>
      </c>
      <c r="E747">
        <f t="shared" si="22"/>
        <v>6000000744</v>
      </c>
      <c r="F747">
        <v>6</v>
      </c>
      <c r="J747">
        <f t="shared" si="23"/>
        <v>20000000743</v>
      </c>
      <c r="K747">
        <v>744</v>
      </c>
    </row>
    <row r="748" spans="1:11" x14ac:dyDescent="0.25">
      <c r="A748" s="8" t="s">
        <v>51</v>
      </c>
      <c r="B748" s="8" t="s">
        <v>348</v>
      </c>
      <c r="C748" s="8" t="s">
        <v>51</v>
      </c>
      <c r="D748" s="8" t="s">
        <v>2179</v>
      </c>
      <c r="E748">
        <f t="shared" si="22"/>
        <v>6000000745</v>
      </c>
      <c r="F748">
        <v>6</v>
      </c>
      <c r="J748">
        <f t="shared" si="23"/>
        <v>20000000744</v>
      </c>
      <c r="K748">
        <v>745</v>
      </c>
    </row>
    <row r="749" spans="1:11" x14ac:dyDescent="0.25">
      <c r="A749" s="8" t="s">
        <v>51</v>
      </c>
      <c r="B749" s="8" t="s">
        <v>349</v>
      </c>
      <c r="C749" s="8" t="s">
        <v>51</v>
      </c>
      <c r="D749" s="8" t="s">
        <v>2180</v>
      </c>
      <c r="E749">
        <f t="shared" si="22"/>
        <v>6000000746</v>
      </c>
      <c r="F749">
        <v>6</v>
      </c>
      <c r="J749">
        <f t="shared" si="23"/>
        <v>20000000745</v>
      </c>
      <c r="K749">
        <v>746</v>
      </c>
    </row>
    <row r="750" spans="1:11" x14ac:dyDescent="0.25">
      <c r="A750" s="8" t="s">
        <v>51</v>
      </c>
      <c r="B750" s="8" t="s">
        <v>350</v>
      </c>
      <c r="C750" s="8" t="s">
        <v>51</v>
      </c>
      <c r="D750" s="8" t="s">
        <v>2181</v>
      </c>
      <c r="E750">
        <f t="shared" si="22"/>
        <v>6000000747</v>
      </c>
      <c r="F750">
        <v>6</v>
      </c>
      <c r="J750">
        <f t="shared" si="23"/>
        <v>20000000746</v>
      </c>
      <c r="K750">
        <v>747</v>
      </c>
    </row>
    <row r="751" spans="1:11" x14ac:dyDescent="0.25">
      <c r="A751" s="8" t="s">
        <v>51</v>
      </c>
      <c r="B751" s="8" t="s">
        <v>351</v>
      </c>
      <c r="C751" s="8" t="s">
        <v>51</v>
      </c>
      <c r="D751" s="8" t="s">
        <v>2182</v>
      </c>
      <c r="E751">
        <f t="shared" si="22"/>
        <v>6000000748</v>
      </c>
      <c r="F751">
        <v>6</v>
      </c>
      <c r="J751">
        <f t="shared" si="23"/>
        <v>20000000747</v>
      </c>
      <c r="K751">
        <v>748</v>
      </c>
    </row>
    <row r="752" spans="1:11" x14ac:dyDescent="0.25">
      <c r="A752" s="8" t="s">
        <v>51</v>
      </c>
      <c r="B752" s="8" t="s">
        <v>352</v>
      </c>
      <c r="C752" s="8" t="s">
        <v>51</v>
      </c>
      <c r="D752" s="8" t="s">
        <v>2183</v>
      </c>
      <c r="E752">
        <f t="shared" si="22"/>
        <v>6000000749</v>
      </c>
      <c r="F752">
        <v>6</v>
      </c>
      <c r="J752">
        <f t="shared" si="23"/>
        <v>20000000748</v>
      </c>
      <c r="K752">
        <v>749</v>
      </c>
    </row>
    <row r="753" spans="1:11" x14ac:dyDescent="0.25">
      <c r="A753" s="8" t="s">
        <v>51</v>
      </c>
      <c r="B753" s="8" t="s">
        <v>353</v>
      </c>
      <c r="C753" s="8" t="s">
        <v>51</v>
      </c>
      <c r="D753" s="8" t="s">
        <v>2184</v>
      </c>
      <c r="E753">
        <f t="shared" si="22"/>
        <v>6000000750</v>
      </c>
      <c r="F753">
        <v>6</v>
      </c>
      <c r="J753">
        <f t="shared" si="23"/>
        <v>20000000749</v>
      </c>
      <c r="K753">
        <v>750</v>
      </c>
    </row>
    <row r="754" spans="1:11" x14ac:dyDescent="0.25">
      <c r="A754" s="8" t="s">
        <v>51</v>
      </c>
      <c r="B754" s="8" t="s">
        <v>1190</v>
      </c>
      <c r="C754" s="8" t="s">
        <v>51</v>
      </c>
      <c r="D754" s="8" t="s">
        <v>2185</v>
      </c>
      <c r="E754">
        <f t="shared" si="22"/>
        <v>6000000751</v>
      </c>
      <c r="F754">
        <v>6</v>
      </c>
      <c r="J754">
        <f t="shared" si="23"/>
        <v>20000000750</v>
      </c>
      <c r="K754">
        <v>751</v>
      </c>
    </row>
    <row r="755" spans="1:11" x14ac:dyDescent="0.25">
      <c r="A755" s="8" t="s">
        <v>51</v>
      </c>
      <c r="B755" s="8" t="s">
        <v>683</v>
      </c>
      <c r="C755" s="8" t="s">
        <v>51</v>
      </c>
      <c r="D755" s="8" t="s">
        <v>2186</v>
      </c>
      <c r="E755">
        <f t="shared" si="22"/>
        <v>6000000752</v>
      </c>
      <c r="F755">
        <v>6</v>
      </c>
      <c r="J755">
        <f t="shared" si="23"/>
        <v>20000000751</v>
      </c>
      <c r="K755">
        <v>752</v>
      </c>
    </row>
    <row r="756" spans="1:11" x14ac:dyDescent="0.25">
      <c r="A756" s="8" t="s">
        <v>51</v>
      </c>
      <c r="B756" s="8" t="s">
        <v>1191</v>
      </c>
      <c r="C756" s="8" t="s">
        <v>51</v>
      </c>
      <c r="D756" s="8" t="s">
        <v>2187</v>
      </c>
      <c r="E756">
        <f t="shared" si="22"/>
        <v>6000000753</v>
      </c>
      <c r="F756">
        <v>6</v>
      </c>
      <c r="J756">
        <f t="shared" si="23"/>
        <v>20000000752</v>
      </c>
      <c r="K756">
        <v>753</v>
      </c>
    </row>
    <row r="757" spans="1:11" x14ac:dyDescent="0.25">
      <c r="A757" s="8" t="s">
        <v>51</v>
      </c>
      <c r="B757" s="8" t="s">
        <v>1192</v>
      </c>
      <c r="C757" s="8" t="s">
        <v>51</v>
      </c>
      <c r="D757" s="8" t="s">
        <v>2188</v>
      </c>
      <c r="E757">
        <f t="shared" si="22"/>
        <v>6000000754</v>
      </c>
      <c r="F757">
        <v>6</v>
      </c>
      <c r="J757">
        <f t="shared" si="23"/>
        <v>20000000753</v>
      </c>
      <c r="K757">
        <v>754</v>
      </c>
    </row>
    <row r="758" spans="1:11" x14ac:dyDescent="0.25">
      <c r="A758" s="8" t="s">
        <v>51</v>
      </c>
      <c r="B758" s="8" t="s">
        <v>1193</v>
      </c>
      <c r="C758" s="8" t="s">
        <v>51</v>
      </c>
      <c r="D758" s="8" t="s">
        <v>2189</v>
      </c>
      <c r="E758">
        <f t="shared" si="22"/>
        <v>6000000755</v>
      </c>
      <c r="F758">
        <v>6</v>
      </c>
      <c r="J758">
        <f t="shared" si="23"/>
        <v>20000000754</v>
      </c>
      <c r="K758">
        <v>755</v>
      </c>
    </row>
    <row r="759" spans="1:11" x14ac:dyDescent="0.25">
      <c r="A759" s="8" t="s">
        <v>51</v>
      </c>
      <c r="B759" s="8" t="s">
        <v>1194</v>
      </c>
      <c r="C759" s="8" t="s">
        <v>51</v>
      </c>
      <c r="D759" s="8" t="s">
        <v>2190</v>
      </c>
      <c r="E759">
        <f t="shared" si="22"/>
        <v>6000000756</v>
      </c>
      <c r="F759">
        <v>6</v>
      </c>
      <c r="J759">
        <f t="shared" si="23"/>
        <v>20000000755</v>
      </c>
      <c r="K759">
        <v>756</v>
      </c>
    </row>
    <row r="760" spans="1:11" x14ac:dyDescent="0.25">
      <c r="A760" s="8" t="s">
        <v>900</v>
      </c>
      <c r="B760" s="8" t="s">
        <v>355</v>
      </c>
      <c r="C760" s="8" t="s">
        <v>900</v>
      </c>
      <c r="D760" s="8" t="s">
        <v>2191</v>
      </c>
      <c r="E760">
        <f t="shared" si="22"/>
        <v>4000000757</v>
      </c>
      <c r="F760">
        <v>4</v>
      </c>
      <c r="J760">
        <f t="shared" si="23"/>
        <v>20000000756</v>
      </c>
      <c r="K760">
        <v>757</v>
      </c>
    </row>
    <row r="761" spans="1:11" x14ac:dyDescent="0.25">
      <c r="A761" s="8" t="s">
        <v>357</v>
      </c>
      <c r="B761" s="8" t="s">
        <v>684</v>
      </c>
      <c r="C761" s="8" t="s">
        <v>357</v>
      </c>
      <c r="D761" s="8" t="s">
        <v>2192</v>
      </c>
      <c r="E761">
        <f t="shared" si="22"/>
        <v>2000000758</v>
      </c>
      <c r="F761">
        <v>2</v>
      </c>
      <c r="J761">
        <f t="shared" si="23"/>
        <v>20000000757</v>
      </c>
      <c r="K761">
        <v>758</v>
      </c>
    </row>
    <row r="762" spans="1:11" x14ac:dyDescent="0.25">
      <c r="A762" s="8" t="s">
        <v>357</v>
      </c>
      <c r="B762" s="8" t="s">
        <v>358</v>
      </c>
      <c r="C762" s="8" t="s">
        <v>357</v>
      </c>
      <c r="D762" s="8" t="s">
        <v>2193</v>
      </c>
      <c r="E762">
        <f t="shared" si="22"/>
        <v>2000000759</v>
      </c>
      <c r="F762">
        <v>2</v>
      </c>
      <c r="J762">
        <f t="shared" si="23"/>
        <v>20000000758</v>
      </c>
      <c r="K762">
        <v>759</v>
      </c>
    </row>
    <row r="763" spans="1:11" x14ac:dyDescent="0.25">
      <c r="A763" s="8" t="s">
        <v>45</v>
      </c>
      <c r="B763" s="8" t="s">
        <v>1195</v>
      </c>
      <c r="C763" s="8" t="s">
        <v>45</v>
      </c>
      <c r="D763" s="8" t="s">
        <v>2194</v>
      </c>
      <c r="E763">
        <f t="shared" si="22"/>
        <v>6000000760</v>
      </c>
      <c r="F763">
        <v>6</v>
      </c>
      <c r="J763">
        <f t="shared" si="23"/>
        <v>20000000759</v>
      </c>
      <c r="K763">
        <v>760</v>
      </c>
    </row>
    <row r="764" spans="1:11" x14ac:dyDescent="0.25">
      <c r="A764" s="8" t="s">
        <v>45</v>
      </c>
      <c r="B764" s="8" t="s">
        <v>1196</v>
      </c>
      <c r="C764" s="8" t="s">
        <v>45</v>
      </c>
      <c r="D764" s="8" t="s">
        <v>2195</v>
      </c>
      <c r="E764">
        <f t="shared" si="22"/>
        <v>6000000761</v>
      </c>
      <c r="F764">
        <v>6</v>
      </c>
      <c r="J764">
        <f t="shared" si="23"/>
        <v>20000000760</v>
      </c>
      <c r="K764">
        <v>761</v>
      </c>
    </row>
    <row r="765" spans="1:11" x14ac:dyDescent="0.25">
      <c r="A765" s="8" t="s">
        <v>45</v>
      </c>
      <c r="B765" s="8" t="s">
        <v>1197</v>
      </c>
      <c r="C765" s="8" t="s">
        <v>45</v>
      </c>
      <c r="D765" s="8" t="s">
        <v>2196</v>
      </c>
      <c r="E765">
        <f t="shared" si="22"/>
        <v>6000000762</v>
      </c>
      <c r="F765">
        <v>6</v>
      </c>
      <c r="J765">
        <f t="shared" si="23"/>
        <v>20000000761</v>
      </c>
      <c r="K765">
        <v>762</v>
      </c>
    </row>
    <row r="766" spans="1:11" x14ac:dyDescent="0.25">
      <c r="A766" s="8" t="s">
        <v>45</v>
      </c>
      <c r="B766" s="8" t="s">
        <v>46</v>
      </c>
      <c r="C766" s="8" t="s">
        <v>45</v>
      </c>
      <c r="D766" s="8" t="s">
        <v>2197</v>
      </c>
      <c r="E766">
        <f t="shared" si="22"/>
        <v>6000000763</v>
      </c>
      <c r="F766">
        <v>6</v>
      </c>
      <c r="J766">
        <f t="shared" si="23"/>
        <v>20000000762</v>
      </c>
      <c r="K766">
        <v>763</v>
      </c>
    </row>
    <row r="767" spans="1:11" x14ac:dyDescent="0.25">
      <c r="A767" s="8" t="s">
        <v>45</v>
      </c>
      <c r="B767" s="8" t="s">
        <v>1198</v>
      </c>
      <c r="C767" s="8" t="s">
        <v>45</v>
      </c>
      <c r="D767" s="8" t="s">
        <v>2198</v>
      </c>
      <c r="E767">
        <f t="shared" si="22"/>
        <v>6000000764</v>
      </c>
      <c r="F767">
        <v>6</v>
      </c>
      <c r="J767">
        <f t="shared" si="23"/>
        <v>20000000763</v>
      </c>
      <c r="K767">
        <v>764</v>
      </c>
    </row>
    <row r="768" spans="1:11" x14ac:dyDescent="0.25">
      <c r="A768" s="8" t="s">
        <v>45</v>
      </c>
      <c r="B768" s="8" t="s">
        <v>1199</v>
      </c>
      <c r="C768" s="8" t="s">
        <v>45</v>
      </c>
      <c r="D768" s="8" t="s">
        <v>2199</v>
      </c>
      <c r="E768">
        <f t="shared" si="22"/>
        <v>6000000765</v>
      </c>
      <c r="F768">
        <v>6</v>
      </c>
      <c r="J768">
        <f t="shared" si="23"/>
        <v>20000000764</v>
      </c>
      <c r="K768">
        <v>765</v>
      </c>
    </row>
    <row r="769" spans="1:11" x14ac:dyDescent="0.25">
      <c r="A769" s="8" t="s">
        <v>45</v>
      </c>
      <c r="B769" s="8" t="s">
        <v>1200</v>
      </c>
      <c r="C769" s="8" t="s">
        <v>45</v>
      </c>
      <c r="D769" s="8" t="s">
        <v>2200</v>
      </c>
      <c r="E769">
        <f t="shared" si="22"/>
        <v>6000000766</v>
      </c>
      <c r="F769">
        <v>6</v>
      </c>
      <c r="J769">
        <f t="shared" si="23"/>
        <v>20000000765</v>
      </c>
      <c r="K769">
        <v>766</v>
      </c>
    </row>
    <row r="770" spans="1:11" x14ac:dyDescent="0.25">
      <c r="A770" s="8" t="s">
        <v>45</v>
      </c>
      <c r="B770" s="8" t="s">
        <v>359</v>
      </c>
      <c r="C770" s="8" t="s">
        <v>45</v>
      </c>
      <c r="D770" s="8" t="s">
        <v>2201</v>
      </c>
      <c r="E770">
        <f t="shared" si="22"/>
        <v>6000000767</v>
      </c>
      <c r="F770">
        <v>6</v>
      </c>
      <c r="J770">
        <f t="shared" si="23"/>
        <v>20000000766</v>
      </c>
      <c r="K770">
        <v>767</v>
      </c>
    </row>
    <row r="771" spans="1:11" x14ac:dyDescent="0.25">
      <c r="A771" s="8" t="s">
        <v>45</v>
      </c>
      <c r="B771" s="8" t="s">
        <v>1201</v>
      </c>
      <c r="C771" s="8" t="s">
        <v>45</v>
      </c>
      <c r="D771" s="8" t="s">
        <v>2202</v>
      </c>
      <c r="E771">
        <f t="shared" si="22"/>
        <v>6000000768</v>
      </c>
      <c r="F771">
        <v>6</v>
      </c>
      <c r="J771">
        <f t="shared" si="23"/>
        <v>20000000767</v>
      </c>
      <c r="K771">
        <v>768</v>
      </c>
    </row>
    <row r="772" spans="1:11" x14ac:dyDescent="0.25">
      <c r="A772" s="8" t="s">
        <v>45</v>
      </c>
      <c r="B772" s="8" t="s">
        <v>360</v>
      </c>
      <c r="C772" s="8" t="s">
        <v>45</v>
      </c>
      <c r="D772" s="8" t="s">
        <v>2203</v>
      </c>
      <c r="E772">
        <f t="shared" si="22"/>
        <v>6000000769</v>
      </c>
      <c r="F772">
        <v>6</v>
      </c>
      <c r="J772">
        <f t="shared" si="23"/>
        <v>20000000768</v>
      </c>
      <c r="K772">
        <v>769</v>
      </c>
    </row>
    <row r="773" spans="1:11" x14ac:dyDescent="0.25">
      <c r="A773" s="8" t="s">
        <v>45</v>
      </c>
      <c r="B773" s="8" t="s">
        <v>968</v>
      </c>
      <c r="C773" s="8" t="s">
        <v>45</v>
      </c>
      <c r="D773" s="8" t="s">
        <v>2204</v>
      </c>
      <c r="E773">
        <f t="shared" ref="E773:E836" si="24">IF(F773="",J773,IF(G773="",F773*$F$2+K773,IF(H773="",F773*$F$2+G773*$G$2+K773,IF(I773="",F773*$F$2+G773*$G$2+H773*$H$2+K773,F773*$F$2+G773*$G$2+H773*$H$2+I773*$I$2+K773))))</f>
        <v>6000000770</v>
      </c>
      <c r="F773">
        <v>6</v>
      </c>
      <c r="J773">
        <f t="shared" si="23"/>
        <v>20000000769</v>
      </c>
      <c r="K773">
        <v>770</v>
      </c>
    </row>
    <row r="774" spans="1:11" x14ac:dyDescent="0.25">
      <c r="A774" s="8" t="s">
        <v>45</v>
      </c>
      <c r="B774" s="8" t="s">
        <v>1202</v>
      </c>
      <c r="C774" s="8" t="s">
        <v>45</v>
      </c>
      <c r="D774" s="8" t="s">
        <v>2205</v>
      </c>
      <c r="E774">
        <f t="shared" si="24"/>
        <v>6000000771</v>
      </c>
      <c r="F774">
        <v>6</v>
      </c>
      <c r="J774">
        <f t="shared" si="23"/>
        <v>20000000770</v>
      </c>
      <c r="K774">
        <v>771</v>
      </c>
    </row>
    <row r="775" spans="1:11" x14ac:dyDescent="0.25">
      <c r="A775" s="8" t="s">
        <v>1023</v>
      </c>
      <c r="B775" s="8" t="s">
        <v>1203</v>
      </c>
      <c r="C775" s="8" t="s">
        <v>1023</v>
      </c>
      <c r="D775" s="8" t="s">
        <v>2206</v>
      </c>
      <c r="E775">
        <f t="shared" si="24"/>
        <v>2000000772</v>
      </c>
      <c r="F775">
        <v>2</v>
      </c>
      <c r="J775">
        <f t="shared" si="23"/>
        <v>20000000771</v>
      </c>
      <c r="K775">
        <v>772</v>
      </c>
    </row>
    <row r="776" spans="1:11" x14ac:dyDescent="0.25">
      <c r="A776" s="8" t="s">
        <v>1024</v>
      </c>
      <c r="B776" s="8" t="s">
        <v>1204</v>
      </c>
      <c r="C776" s="8" t="s">
        <v>1024</v>
      </c>
      <c r="D776" s="8" t="s">
        <v>2207</v>
      </c>
      <c r="E776">
        <f t="shared" si="24"/>
        <v>1000000773</v>
      </c>
      <c r="F776">
        <v>1</v>
      </c>
      <c r="J776">
        <f t="shared" si="23"/>
        <v>20000000772</v>
      </c>
      <c r="K776">
        <v>773</v>
      </c>
    </row>
    <row r="777" spans="1:11" x14ac:dyDescent="0.25">
      <c r="A777" s="8" t="s">
        <v>1024</v>
      </c>
      <c r="B777" s="8" t="s">
        <v>1205</v>
      </c>
      <c r="C777" s="8" t="s">
        <v>1024</v>
      </c>
      <c r="D777" s="8" t="s">
        <v>2208</v>
      </c>
      <c r="E777">
        <f t="shared" si="24"/>
        <v>1000000774</v>
      </c>
      <c r="F777">
        <v>1</v>
      </c>
      <c r="J777">
        <f t="shared" ref="J777:J840" si="25">J776+1</f>
        <v>20000000773</v>
      </c>
      <c r="K777">
        <v>774</v>
      </c>
    </row>
    <row r="778" spans="1:11" x14ac:dyDescent="0.25">
      <c r="A778" s="8" t="s">
        <v>1024</v>
      </c>
      <c r="B778" s="8" t="s">
        <v>1206</v>
      </c>
      <c r="C778" s="8" t="s">
        <v>1024</v>
      </c>
      <c r="D778" s="8" t="s">
        <v>2209</v>
      </c>
      <c r="E778">
        <f t="shared" si="24"/>
        <v>1000000775</v>
      </c>
      <c r="F778">
        <v>1</v>
      </c>
      <c r="J778">
        <f t="shared" si="25"/>
        <v>20000000774</v>
      </c>
      <c r="K778">
        <v>775</v>
      </c>
    </row>
    <row r="779" spans="1:11" x14ac:dyDescent="0.25">
      <c r="A779" s="8" t="s">
        <v>1024</v>
      </c>
      <c r="B779" s="8" t="s">
        <v>623</v>
      </c>
      <c r="C779" s="8" t="s">
        <v>1024</v>
      </c>
      <c r="D779" s="8" t="s">
        <v>2210</v>
      </c>
      <c r="E779">
        <f t="shared" si="24"/>
        <v>1000000776</v>
      </c>
      <c r="F779">
        <v>1</v>
      </c>
      <c r="J779">
        <f t="shared" si="25"/>
        <v>20000000775</v>
      </c>
      <c r="K779">
        <v>776</v>
      </c>
    </row>
    <row r="780" spans="1:11" x14ac:dyDescent="0.25">
      <c r="A780" s="8" t="s">
        <v>1024</v>
      </c>
      <c r="B780" s="8" t="s">
        <v>1207</v>
      </c>
      <c r="C780" s="8" t="s">
        <v>1024</v>
      </c>
      <c r="D780" s="8" t="s">
        <v>2211</v>
      </c>
      <c r="E780">
        <f t="shared" si="24"/>
        <v>1000000777</v>
      </c>
      <c r="F780">
        <v>1</v>
      </c>
      <c r="J780">
        <f t="shared" si="25"/>
        <v>20000000776</v>
      </c>
      <c r="K780">
        <v>777</v>
      </c>
    </row>
    <row r="781" spans="1:11" x14ac:dyDescent="0.25">
      <c r="A781" s="8" t="s">
        <v>365</v>
      </c>
      <c r="B781" s="8" t="s">
        <v>1208</v>
      </c>
      <c r="C781" s="8" t="s">
        <v>365</v>
      </c>
      <c r="D781" s="8" t="s">
        <v>2212</v>
      </c>
      <c r="E781">
        <f t="shared" si="24"/>
        <v>6000000778</v>
      </c>
      <c r="F781">
        <v>6</v>
      </c>
      <c r="J781">
        <f t="shared" si="25"/>
        <v>20000000777</v>
      </c>
      <c r="K781">
        <v>778</v>
      </c>
    </row>
    <row r="782" spans="1:11" x14ac:dyDescent="0.25">
      <c r="A782" s="8" t="s">
        <v>365</v>
      </c>
      <c r="B782" s="8" t="s">
        <v>1209</v>
      </c>
      <c r="C782" s="8" t="s">
        <v>365</v>
      </c>
      <c r="D782" s="8" t="s">
        <v>2213</v>
      </c>
      <c r="E782">
        <f t="shared" si="24"/>
        <v>6000000779</v>
      </c>
      <c r="F782">
        <v>6</v>
      </c>
      <c r="J782">
        <f t="shared" si="25"/>
        <v>20000000778</v>
      </c>
      <c r="K782">
        <v>779</v>
      </c>
    </row>
    <row r="783" spans="1:11" x14ac:dyDescent="0.25">
      <c r="A783" s="8" t="s">
        <v>365</v>
      </c>
      <c r="B783" s="8" t="s">
        <v>1210</v>
      </c>
      <c r="C783" s="8" t="s">
        <v>365</v>
      </c>
      <c r="D783" s="8" t="s">
        <v>2214</v>
      </c>
      <c r="E783">
        <f t="shared" si="24"/>
        <v>6000000780</v>
      </c>
      <c r="F783">
        <v>6</v>
      </c>
      <c r="J783">
        <f t="shared" si="25"/>
        <v>20000000779</v>
      </c>
      <c r="K783">
        <v>780</v>
      </c>
    </row>
    <row r="784" spans="1:11" x14ac:dyDescent="0.25">
      <c r="A784" s="8" t="s">
        <v>365</v>
      </c>
      <c r="B784" s="8" t="s">
        <v>1211</v>
      </c>
      <c r="C784" s="8" t="s">
        <v>365</v>
      </c>
      <c r="D784" s="8" t="s">
        <v>2215</v>
      </c>
      <c r="E784">
        <f t="shared" si="24"/>
        <v>6000000781</v>
      </c>
      <c r="F784">
        <v>6</v>
      </c>
      <c r="J784">
        <f t="shared" si="25"/>
        <v>20000000780</v>
      </c>
      <c r="K784">
        <v>781</v>
      </c>
    </row>
    <row r="785" spans="1:11" x14ac:dyDescent="0.25">
      <c r="A785" s="8" t="s">
        <v>365</v>
      </c>
      <c r="B785" s="8" t="s">
        <v>1212</v>
      </c>
      <c r="C785" s="8" t="s">
        <v>365</v>
      </c>
      <c r="D785" s="8" t="s">
        <v>2216</v>
      </c>
      <c r="E785">
        <f t="shared" si="24"/>
        <v>6000000782</v>
      </c>
      <c r="F785">
        <v>6</v>
      </c>
      <c r="J785">
        <f t="shared" si="25"/>
        <v>20000000781</v>
      </c>
      <c r="K785">
        <v>782</v>
      </c>
    </row>
    <row r="786" spans="1:11" x14ac:dyDescent="0.25">
      <c r="A786" s="8" t="s">
        <v>365</v>
      </c>
      <c r="B786" s="8" t="s">
        <v>1213</v>
      </c>
      <c r="C786" s="8" t="s">
        <v>365</v>
      </c>
      <c r="D786" s="8" t="s">
        <v>2217</v>
      </c>
      <c r="E786">
        <f t="shared" si="24"/>
        <v>6000000783</v>
      </c>
      <c r="F786">
        <v>6</v>
      </c>
      <c r="J786">
        <f t="shared" si="25"/>
        <v>20000000782</v>
      </c>
      <c r="K786">
        <v>783</v>
      </c>
    </row>
    <row r="787" spans="1:11" x14ac:dyDescent="0.25">
      <c r="A787" s="8" t="s">
        <v>365</v>
      </c>
      <c r="B787" s="8" t="s">
        <v>1214</v>
      </c>
      <c r="C787" s="8" t="s">
        <v>365</v>
      </c>
      <c r="D787" s="8" t="s">
        <v>2218</v>
      </c>
      <c r="E787">
        <f t="shared" si="24"/>
        <v>6000000784</v>
      </c>
      <c r="F787">
        <v>6</v>
      </c>
      <c r="J787">
        <f t="shared" si="25"/>
        <v>20000000783</v>
      </c>
      <c r="K787">
        <v>784</v>
      </c>
    </row>
    <row r="788" spans="1:11" x14ac:dyDescent="0.25">
      <c r="A788" s="8" t="s">
        <v>365</v>
      </c>
      <c r="B788" s="8" t="s">
        <v>1215</v>
      </c>
      <c r="C788" s="8" t="s">
        <v>365</v>
      </c>
      <c r="D788" s="8" t="s">
        <v>2219</v>
      </c>
      <c r="E788">
        <f t="shared" si="24"/>
        <v>6000000785</v>
      </c>
      <c r="F788">
        <v>6</v>
      </c>
      <c r="J788">
        <f t="shared" si="25"/>
        <v>20000000784</v>
      </c>
      <c r="K788">
        <v>785</v>
      </c>
    </row>
    <row r="789" spans="1:11" x14ac:dyDescent="0.25">
      <c r="A789" s="8" t="s">
        <v>365</v>
      </c>
      <c r="B789" s="8" t="s">
        <v>1216</v>
      </c>
      <c r="C789" s="8" t="s">
        <v>365</v>
      </c>
      <c r="D789" s="8" t="s">
        <v>2220</v>
      </c>
      <c r="E789">
        <f t="shared" si="24"/>
        <v>6000000786</v>
      </c>
      <c r="F789">
        <v>6</v>
      </c>
      <c r="J789">
        <f t="shared" si="25"/>
        <v>20000000785</v>
      </c>
      <c r="K789">
        <v>786</v>
      </c>
    </row>
    <row r="790" spans="1:11" x14ac:dyDescent="0.25">
      <c r="A790" s="8" t="s">
        <v>365</v>
      </c>
      <c r="B790" s="8" t="s">
        <v>1217</v>
      </c>
      <c r="C790" s="8" t="s">
        <v>365</v>
      </c>
      <c r="D790" s="8" t="s">
        <v>2221</v>
      </c>
      <c r="E790">
        <f t="shared" si="24"/>
        <v>6000000787</v>
      </c>
      <c r="F790">
        <v>6</v>
      </c>
      <c r="J790">
        <f t="shared" si="25"/>
        <v>20000000786</v>
      </c>
      <c r="K790">
        <v>787</v>
      </c>
    </row>
    <row r="791" spans="1:11" x14ac:dyDescent="0.25">
      <c r="A791" s="8" t="s">
        <v>365</v>
      </c>
      <c r="B791" s="8" t="s">
        <v>1218</v>
      </c>
      <c r="C791" s="8" t="s">
        <v>365</v>
      </c>
      <c r="D791" s="8" t="s">
        <v>2222</v>
      </c>
      <c r="E791">
        <f t="shared" si="24"/>
        <v>6000000788</v>
      </c>
      <c r="F791">
        <v>6</v>
      </c>
      <c r="J791">
        <f t="shared" si="25"/>
        <v>20000000787</v>
      </c>
      <c r="K791">
        <v>788</v>
      </c>
    </row>
    <row r="792" spans="1:11" x14ac:dyDescent="0.25">
      <c r="A792" s="8" t="s">
        <v>365</v>
      </c>
      <c r="B792" s="8" t="s">
        <v>1219</v>
      </c>
      <c r="C792" s="8" t="s">
        <v>365</v>
      </c>
      <c r="D792" s="8" t="s">
        <v>2223</v>
      </c>
      <c r="E792">
        <f t="shared" si="24"/>
        <v>6000000789</v>
      </c>
      <c r="F792">
        <v>6</v>
      </c>
      <c r="J792">
        <f t="shared" si="25"/>
        <v>20000000788</v>
      </c>
      <c r="K792">
        <v>789</v>
      </c>
    </row>
    <row r="793" spans="1:11" x14ac:dyDescent="0.25">
      <c r="A793" s="8" t="s">
        <v>365</v>
      </c>
      <c r="B793" s="8" t="s">
        <v>366</v>
      </c>
      <c r="C793" s="8" t="s">
        <v>365</v>
      </c>
      <c r="D793" s="8" t="s">
        <v>2224</v>
      </c>
      <c r="E793">
        <f t="shared" si="24"/>
        <v>6000000790</v>
      </c>
      <c r="F793">
        <v>6</v>
      </c>
      <c r="J793">
        <f t="shared" si="25"/>
        <v>20000000789</v>
      </c>
      <c r="K793">
        <v>790</v>
      </c>
    </row>
    <row r="794" spans="1:11" x14ac:dyDescent="0.25">
      <c r="A794" s="8" t="s">
        <v>365</v>
      </c>
      <c r="B794" s="8" t="s">
        <v>1220</v>
      </c>
      <c r="C794" s="8" t="s">
        <v>365</v>
      </c>
      <c r="D794" s="8" t="s">
        <v>2225</v>
      </c>
      <c r="E794">
        <f t="shared" si="24"/>
        <v>6000000791</v>
      </c>
      <c r="F794">
        <v>6</v>
      </c>
      <c r="J794">
        <f t="shared" si="25"/>
        <v>20000000790</v>
      </c>
      <c r="K794">
        <v>791</v>
      </c>
    </row>
    <row r="795" spans="1:11" x14ac:dyDescent="0.25">
      <c r="A795" s="8" t="s">
        <v>365</v>
      </c>
      <c r="B795" s="8" t="s">
        <v>1221</v>
      </c>
      <c r="C795" s="8" t="s">
        <v>365</v>
      </c>
      <c r="D795" s="8" t="s">
        <v>2226</v>
      </c>
      <c r="E795">
        <f t="shared" si="24"/>
        <v>6000000792</v>
      </c>
      <c r="F795">
        <v>6</v>
      </c>
      <c r="J795">
        <f t="shared" si="25"/>
        <v>20000000791</v>
      </c>
      <c r="K795">
        <v>792</v>
      </c>
    </row>
    <row r="796" spans="1:11" x14ac:dyDescent="0.25">
      <c r="A796" s="8" t="s">
        <v>365</v>
      </c>
      <c r="B796" s="8" t="s">
        <v>367</v>
      </c>
      <c r="C796" s="8" t="s">
        <v>365</v>
      </c>
      <c r="D796" s="8" t="s">
        <v>2227</v>
      </c>
      <c r="E796">
        <f t="shared" si="24"/>
        <v>6000000793</v>
      </c>
      <c r="F796">
        <v>6</v>
      </c>
      <c r="J796">
        <f t="shared" si="25"/>
        <v>20000000792</v>
      </c>
      <c r="K796">
        <v>793</v>
      </c>
    </row>
    <row r="797" spans="1:11" x14ac:dyDescent="0.25">
      <c r="A797" s="8" t="s">
        <v>365</v>
      </c>
      <c r="B797" s="8" t="s">
        <v>1222</v>
      </c>
      <c r="C797" s="8" t="s">
        <v>365</v>
      </c>
      <c r="D797" s="8" t="s">
        <v>2228</v>
      </c>
      <c r="E797">
        <f t="shared" si="24"/>
        <v>6000000794</v>
      </c>
      <c r="F797">
        <v>6</v>
      </c>
      <c r="J797">
        <f t="shared" si="25"/>
        <v>20000000793</v>
      </c>
      <c r="K797">
        <v>794</v>
      </c>
    </row>
    <row r="798" spans="1:11" x14ac:dyDescent="0.25">
      <c r="A798" s="8" t="s">
        <v>365</v>
      </c>
      <c r="B798" s="8" t="s">
        <v>1223</v>
      </c>
      <c r="C798" s="8" t="s">
        <v>365</v>
      </c>
      <c r="D798" s="8" t="s">
        <v>2229</v>
      </c>
      <c r="E798">
        <f t="shared" si="24"/>
        <v>6000000795</v>
      </c>
      <c r="F798">
        <v>6</v>
      </c>
      <c r="J798">
        <f t="shared" si="25"/>
        <v>20000000794</v>
      </c>
      <c r="K798">
        <v>795</v>
      </c>
    </row>
    <row r="799" spans="1:11" x14ac:dyDescent="0.25">
      <c r="A799" s="8" t="s">
        <v>365</v>
      </c>
      <c r="B799" s="8" t="s">
        <v>368</v>
      </c>
      <c r="C799" s="8" t="s">
        <v>365</v>
      </c>
      <c r="D799" s="8" t="s">
        <v>2230</v>
      </c>
      <c r="E799">
        <f t="shared" si="24"/>
        <v>6000000796</v>
      </c>
      <c r="F799">
        <v>6</v>
      </c>
      <c r="J799">
        <f t="shared" si="25"/>
        <v>20000000795</v>
      </c>
      <c r="K799">
        <v>796</v>
      </c>
    </row>
    <row r="800" spans="1:11" x14ac:dyDescent="0.25">
      <c r="A800" s="8" t="s">
        <v>365</v>
      </c>
      <c r="B800" s="8" t="s">
        <v>1224</v>
      </c>
      <c r="C800" s="8" t="s">
        <v>365</v>
      </c>
      <c r="D800" s="8" t="s">
        <v>2231</v>
      </c>
      <c r="E800">
        <f t="shared" si="24"/>
        <v>6000000797</v>
      </c>
      <c r="F800">
        <v>6</v>
      </c>
      <c r="J800">
        <f t="shared" si="25"/>
        <v>20000000796</v>
      </c>
      <c r="K800">
        <v>797</v>
      </c>
    </row>
    <row r="801" spans="1:11" x14ac:dyDescent="0.25">
      <c r="A801" s="8" t="s">
        <v>365</v>
      </c>
      <c r="B801" s="8" t="s">
        <v>1225</v>
      </c>
      <c r="C801" s="8" t="s">
        <v>365</v>
      </c>
      <c r="D801" s="8" t="s">
        <v>2232</v>
      </c>
      <c r="E801">
        <f t="shared" si="24"/>
        <v>6000000798</v>
      </c>
      <c r="F801">
        <v>6</v>
      </c>
      <c r="J801">
        <f t="shared" si="25"/>
        <v>20000000797</v>
      </c>
      <c r="K801">
        <v>798</v>
      </c>
    </row>
    <row r="802" spans="1:11" x14ac:dyDescent="0.25">
      <c r="A802" s="8" t="s">
        <v>365</v>
      </c>
      <c r="B802" s="8" t="s">
        <v>369</v>
      </c>
      <c r="C802" s="8" t="s">
        <v>365</v>
      </c>
      <c r="D802" s="8" t="s">
        <v>2233</v>
      </c>
      <c r="E802">
        <f t="shared" si="24"/>
        <v>6000000799</v>
      </c>
      <c r="F802">
        <v>6</v>
      </c>
      <c r="J802">
        <f t="shared" si="25"/>
        <v>20000000798</v>
      </c>
      <c r="K802">
        <v>799</v>
      </c>
    </row>
    <row r="803" spans="1:11" x14ac:dyDescent="0.25">
      <c r="A803" s="8" t="s">
        <v>365</v>
      </c>
      <c r="B803" s="8" t="s">
        <v>1226</v>
      </c>
      <c r="C803" s="8" t="s">
        <v>365</v>
      </c>
      <c r="D803" s="8" t="s">
        <v>2234</v>
      </c>
      <c r="E803">
        <f t="shared" si="24"/>
        <v>6000000800</v>
      </c>
      <c r="F803">
        <v>6</v>
      </c>
      <c r="J803">
        <f t="shared" si="25"/>
        <v>20000000799</v>
      </c>
      <c r="K803">
        <v>800</v>
      </c>
    </row>
    <row r="804" spans="1:11" x14ac:dyDescent="0.25">
      <c r="A804" s="8" t="s">
        <v>365</v>
      </c>
      <c r="B804" s="8" t="s">
        <v>1227</v>
      </c>
      <c r="C804" s="8" t="s">
        <v>365</v>
      </c>
      <c r="D804" s="8" t="s">
        <v>2235</v>
      </c>
      <c r="E804">
        <f t="shared" si="24"/>
        <v>6000000801</v>
      </c>
      <c r="F804">
        <v>6</v>
      </c>
      <c r="J804">
        <f t="shared" si="25"/>
        <v>20000000800</v>
      </c>
      <c r="K804">
        <v>801</v>
      </c>
    </row>
    <row r="805" spans="1:11" x14ac:dyDescent="0.25">
      <c r="A805" s="8" t="s">
        <v>365</v>
      </c>
      <c r="B805" s="8" t="s">
        <v>370</v>
      </c>
      <c r="C805" s="8" t="s">
        <v>365</v>
      </c>
      <c r="D805" s="8" t="s">
        <v>2236</v>
      </c>
      <c r="E805">
        <f t="shared" si="24"/>
        <v>6000000802</v>
      </c>
      <c r="F805">
        <v>6</v>
      </c>
      <c r="J805">
        <f t="shared" si="25"/>
        <v>20000000801</v>
      </c>
      <c r="K805">
        <v>802</v>
      </c>
    </row>
    <row r="806" spans="1:11" x14ac:dyDescent="0.25">
      <c r="A806" s="8" t="s">
        <v>365</v>
      </c>
      <c r="B806" s="8" t="s">
        <v>1228</v>
      </c>
      <c r="C806" s="8" t="s">
        <v>365</v>
      </c>
      <c r="D806" s="8" t="s">
        <v>2237</v>
      </c>
      <c r="E806">
        <f t="shared" si="24"/>
        <v>6000000803</v>
      </c>
      <c r="F806">
        <v>6</v>
      </c>
      <c r="J806">
        <f t="shared" si="25"/>
        <v>20000000802</v>
      </c>
      <c r="K806">
        <v>803</v>
      </c>
    </row>
    <row r="807" spans="1:11" x14ac:dyDescent="0.25">
      <c r="A807" s="8" t="s">
        <v>365</v>
      </c>
      <c r="B807" s="8" t="s">
        <v>1229</v>
      </c>
      <c r="C807" s="8" t="s">
        <v>365</v>
      </c>
      <c r="D807" s="8" t="s">
        <v>2238</v>
      </c>
      <c r="E807">
        <f t="shared" si="24"/>
        <v>6000000804</v>
      </c>
      <c r="F807">
        <v>6</v>
      </c>
      <c r="J807">
        <f t="shared" si="25"/>
        <v>20000000803</v>
      </c>
      <c r="K807">
        <v>804</v>
      </c>
    </row>
    <row r="808" spans="1:11" x14ac:dyDescent="0.25">
      <c r="A808" s="8" t="s">
        <v>365</v>
      </c>
      <c r="B808" s="8" t="s">
        <v>371</v>
      </c>
      <c r="C808" s="8" t="s">
        <v>365</v>
      </c>
      <c r="D808" s="8" t="s">
        <v>2239</v>
      </c>
      <c r="E808">
        <f t="shared" si="24"/>
        <v>6000000805</v>
      </c>
      <c r="F808">
        <v>6</v>
      </c>
      <c r="J808">
        <f t="shared" si="25"/>
        <v>20000000804</v>
      </c>
      <c r="K808">
        <v>805</v>
      </c>
    </row>
    <row r="809" spans="1:11" x14ac:dyDescent="0.25">
      <c r="A809" s="8" t="s">
        <v>365</v>
      </c>
      <c r="B809" s="8" t="s">
        <v>1230</v>
      </c>
      <c r="C809" s="8" t="s">
        <v>365</v>
      </c>
      <c r="D809" s="8" t="s">
        <v>2240</v>
      </c>
      <c r="E809">
        <f t="shared" si="24"/>
        <v>6000000806</v>
      </c>
      <c r="F809">
        <v>6</v>
      </c>
      <c r="J809">
        <f t="shared" si="25"/>
        <v>20000000805</v>
      </c>
      <c r="K809">
        <v>806</v>
      </c>
    </row>
    <row r="810" spans="1:11" x14ac:dyDescent="0.25">
      <c r="A810" s="8" t="s">
        <v>365</v>
      </c>
      <c r="B810" s="8" t="s">
        <v>1231</v>
      </c>
      <c r="C810" s="8" t="s">
        <v>365</v>
      </c>
      <c r="D810" s="8" t="s">
        <v>2241</v>
      </c>
      <c r="E810">
        <f t="shared" si="24"/>
        <v>6000000807</v>
      </c>
      <c r="F810">
        <v>6</v>
      </c>
      <c r="J810">
        <f t="shared" si="25"/>
        <v>20000000806</v>
      </c>
      <c r="K810">
        <v>807</v>
      </c>
    </row>
    <row r="811" spans="1:11" x14ac:dyDescent="0.25">
      <c r="A811" s="8" t="s">
        <v>365</v>
      </c>
      <c r="B811" s="8" t="s">
        <v>372</v>
      </c>
      <c r="C811" s="8" t="s">
        <v>365</v>
      </c>
      <c r="D811" s="8" t="s">
        <v>2242</v>
      </c>
      <c r="E811">
        <f t="shared" si="24"/>
        <v>6000000808</v>
      </c>
      <c r="F811">
        <v>6</v>
      </c>
      <c r="J811">
        <f t="shared" si="25"/>
        <v>20000000807</v>
      </c>
      <c r="K811">
        <v>808</v>
      </c>
    </row>
    <row r="812" spans="1:11" x14ac:dyDescent="0.25">
      <c r="A812" s="8" t="s">
        <v>365</v>
      </c>
      <c r="B812" s="8" t="s">
        <v>1232</v>
      </c>
      <c r="C812" s="8" t="s">
        <v>365</v>
      </c>
      <c r="D812" s="8" t="s">
        <v>2243</v>
      </c>
      <c r="E812">
        <f t="shared" si="24"/>
        <v>6000000809</v>
      </c>
      <c r="F812">
        <v>6</v>
      </c>
      <c r="J812">
        <f t="shared" si="25"/>
        <v>20000000808</v>
      </c>
      <c r="K812">
        <v>809</v>
      </c>
    </row>
    <row r="813" spans="1:11" x14ac:dyDescent="0.25">
      <c r="A813" s="8" t="s">
        <v>365</v>
      </c>
      <c r="B813" s="8" t="s">
        <v>1233</v>
      </c>
      <c r="C813" s="8" t="s">
        <v>365</v>
      </c>
      <c r="D813" s="8" t="s">
        <v>2244</v>
      </c>
      <c r="E813">
        <f t="shared" si="24"/>
        <v>6000000810</v>
      </c>
      <c r="F813">
        <v>6</v>
      </c>
      <c r="J813">
        <f t="shared" si="25"/>
        <v>20000000809</v>
      </c>
      <c r="K813">
        <v>810</v>
      </c>
    </row>
    <row r="814" spans="1:11" x14ac:dyDescent="0.25">
      <c r="A814" s="8" t="s">
        <v>365</v>
      </c>
      <c r="B814" s="8" t="s">
        <v>1234</v>
      </c>
      <c r="C814" s="8" t="s">
        <v>365</v>
      </c>
      <c r="D814" s="8" t="s">
        <v>2245</v>
      </c>
      <c r="E814">
        <f t="shared" si="24"/>
        <v>6000000811</v>
      </c>
      <c r="F814">
        <v>6</v>
      </c>
      <c r="J814">
        <f t="shared" si="25"/>
        <v>20000000810</v>
      </c>
      <c r="K814">
        <v>811</v>
      </c>
    </row>
    <row r="815" spans="1:11" x14ac:dyDescent="0.25">
      <c r="A815" s="8" t="s">
        <v>365</v>
      </c>
      <c r="B815" s="8" t="s">
        <v>373</v>
      </c>
      <c r="C815" s="8" t="s">
        <v>365</v>
      </c>
      <c r="D815" s="8" t="s">
        <v>2246</v>
      </c>
      <c r="E815">
        <f t="shared" si="24"/>
        <v>6000000812</v>
      </c>
      <c r="F815">
        <v>6</v>
      </c>
      <c r="J815">
        <f t="shared" si="25"/>
        <v>20000000811</v>
      </c>
      <c r="K815">
        <v>812</v>
      </c>
    </row>
    <row r="816" spans="1:11" x14ac:dyDescent="0.25">
      <c r="A816" s="8" t="s">
        <v>365</v>
      </c>
      <c r="B816" s="8" t="s">
        <v>374</v>
      </c>
      <c r="C816" s="8" t="s">
        <v>365</v>
      </c>
      <c r="D816" s="8" t="s">
        <v>2247</v>
      </c>
      <c r="E816">
        <f t="shared" si="24"/>
        <v>6000000813</v>
      </c>
      <c r="F816">
        <v>6</v>
      </c>
      <c r="J816">
        <f t="shared" si="25"/>
        <v>20000000812</v>
      </c>
      <c r="K816">
        <v>813</v>
      </c>
    </row>
    <row r="817" spans="1:11" x14ac:dyDescent="0.25">
      <c r="A817" s="8" t="s">
        <v>365</v>
      </c>
      <c r="B817" s="8" t="s">
        <v>1235</v>
      </c>
      <c r="C817" s="8" t="s">
        <v>365</v>
      </c>
      <c r="D817" s="8" t="s">
        <v>2248</v>
      </c>
      <c r="E817">
        <f t="shared" si="24"/>
        <v>6000000814</v>
      </c>
      <c r="F817">
        <v>6</v>
      </c>
      <c r="J817">
        <f t="shared" si="25"/>
        <v>20000000813</v>
      </c>
      <c r="K817">
        <v>814</v>
      </c>
    </row>
    <row r="818" spans="1:11" x14ac:dyDescent="0.25">
      <c r="A818" s="8" t="s">
        <v>365</v>
      </c>
      <c r="B818" s="8" t="s">
        <v>1236</v>
      </c>
      <c r="C818" s="8" t="s">
        <v>365</v>
      </c>
      <c r="D818" s="8" t="s">
        <v>2249</v>
      </c>
      <c r="E818">
        <f t="shared" si="24"/>
        <v>6000000815</v>
      </c>
      <c r="F818">
        <v>6</v>
      </c>
      <c r="J818">
        <f t="shared" si="25"/>
        <v>20000000814</v>
      </c>
      <c r="K818">
        <v>815</v>
      </c>
    </row>
    <row r="819" spans="1:11" x14ac:dyDescent="0.25">
      <c r="A819" s="8" t="s">
        <v>365</v>
      </c>
      <c r="B819" s="8" t="s">
        <v>1237</v>
      </c>
      <c r="C819" s="8" t="s">
        <v>365</v>
      </c>
      <c r="D819" s="8" t="s">
        <v>2250</v>
      </c>
      <c r="E819">
        <f t="shared" si="24"/>
        <v>6000000816</v>
      </c>
      <c r="F819">
        <v>6</v>
      </c>
      <c r="J819">
        <f t="shared" si="25"/>
        <v>20000000815</v>
      </c>
      <c r="K819">
        <v>816</v>
      </c>
    </row>
    <row r="820" spans="1:11" x14ac:dyDescent="0.25">
      <c r="A820" s="8" t="s">
        <v>365</v>
      </c>
      <c r="B820" s="8" t="s">
        <v>1238</v>
      </c>
      <c r="C820" s="8" t="s">
        <v>365</v>
      </c>
      <c r="D820" s="8" t="s">
        <v>2251</v>
      </c>
      <c r="E820">
        <f t="shared" si="24"/>
        <v>6000000817</v>
      </c>
      <c r="F820">
        <v>6</v>
      </c>
      <c r="J820">
        <f t="shared" si="25"/>
        <v>20000000816</v>
      </c>
      <c r="K820">
        <v>817</v>
      </c>
    </row>
    <row r="821" spans="1:11" x14ac:dyDescent="0.25">
      <c r="A821" s="8" t="s">
        <v>365</v>
      </c>
      <c r="B821" s="8" t="s">
        <v>375</v>
      </c>
      <c r="C821" s="8" t="s">
        <v>365</v>
      </c>
      <c r="D821" s="8" t="s">
        <v>2252</v>
      </c>
      <c r="E821">
        <f t="shared" si="24"/>
        <v>6000000818</v>
      </c>
      <c r="F821">
        <v>6</v>
      </c>
      <c r="J821">
        <f t="shared" si="25"/>
        <v>20000000817</v>
      </c>
      <c r="K821">
        <v>818</v>
      </c>
    </row>
    <row r="822" spans="1:11" x14ac:dyDescent="0.25">
      <c r="A822" s="8" t="s">
        <v>365</v>
      </c>
      <c r="B822" s="8" t="s">
        <v>1239</v>
      </c>
      <c r="C822" s="8" t="s">
        <v>365</v>
      </c>
      <c r="D822" s="8" t="s">
        <v>2253</v>
      </c>
      <c r="E822">
        <f t="shared" si="24"/>
        <v>6000000819</v>
      </c>
      <c r="F822">
        <v>6</v>
      </c>
      <c r="J822">
        <f t="shared" si="25"/>
        <v>20000000818</v>
      </c>
      <c r="K822">
        <v>819</v>
      </c>
    </row>
    <row r="823" spans="1:11" x14ac:dyDescent="0.25">
      <c r="A823" s="8" t="s">
        <v>365</v>
      </c>
      <c r="B823" s="8" t="s">
        <v>1240</v>
      </c>
      <c r="C823" s="8" t="s">
        <v>365</v>
      </c>
      <c r="D823" s="8" t="s">
        <v>2254</v>
      </c>
      <c r="E823">
        <f t="shared" si="24"/>
        <v>6000000820</v>
      </c>
      <c r="F823">
        <v>6</v>
      </c>
      <c r="J823">
        <f t="shared" si="25"/>
        <v>20000000819</v>
      </c>
      <c r="K823">
        <v>820</v>
      </c>
    </row>
    <row r="824" spans="1:11" x14ac:dyDescent="0.25">
      <c r="A824" s="8" t="s">
        <v>365</v>
      </c>
      <c r="B824" s="8" t="s">
        <v>1241</v>
      </c>
      <c r="C824" s="8" t="s">
        <v>365</v>
      </c>
      <c r="D824" s="8" t="s">
        <v>2255</v>
      </c>
      <c r="E824">
        <f t="shared" si="24"/>
        <v>6000000821</v>
      </c>
      <c r="F824">
        <v>6</v>
      </c>
      <c r="J824">
        <f t="shared" si="25"/>
        <v>20000000820</v>
      </c>
      <c r="K824">
        <v>821</v>
      </c>
    </row>
    <row r="825" spans="1:11" x14ac:dyDescent="0.25">
      <c r="A825" s="8" t="s">
        <v>365</v>
      </c>
      <c r="B825" s="8" t="s">
        <v>376</v>
      </c>
      <c r="C825" s="8" t="s">
        <v>365</v>
      </c>
      <c r="D825" s="8" t="s">
        <v>2256</v>
      </c>
      <c r="E825">
        <f t="shared" si="24"/>
        <v>6000000822</v>
      </c>
      <c r="F825">
        <v>6</v>
      </c>
      <c r="J825">
        <f t="shared" si="25"/>
        <v>20000000821</v>
      </c>
      <c r="K825">
        <v>822</v>
      </c>
    </row>
    <row r="826" spans="1:11" x14ac:dyDescent="0.25">
      <c r="A826" s="8" t="s">
        <v>365</v>
      </c>
      <c r="B826" s="8" t="s">
        <v>1242</v>
      </c>
      <c r="C826" s="8" t="s">
        <v>365</v>
      </c>
      <c r="D826" s="8" t="s">
        <v>2257</v>
      </c>
      <c r="E826">
        <f t="shared" si="24"/>
        <v>6000000823</v>
      </c>
      <c r="F826">
        <v>6</v>
      </c>
      <c r="J826">
        <f t="shared" si="25"/>
        <v>20000000822</v>
      </c>
      <c r="K826">
        <v>823</v>
      </c>
    </row>
    <row r="827" spans="1:11" x14ac:dyDescent="0.25">
      <c r="A827" s="8" t="s">
        <v>365</v>
      </c>
      <c r="B827" s="8" t="s">
        <v>1243</v>
      </c>
      <c r="C827" s="8" t="s">
        <v>365</v>
      </c>
      <c r="D827" s="8" t="s">
        <v>2258</v>
      </c>
      <c r="E827">
        <f t="shared" si="24"/>
        <v>6000000824</v>
      </c>
      <c r="F827">
        <v>6</v>
      </c>
      <c r="J827">
        <f t="shared" si="25"/>
        <v>20000000823</v>
      </c>
      <c r="K827">
        <v>824</v>
      </c>
    </row>
    <row r="828" spans="1:11" x14ac:dyDescent="0.25">
      <c r="A828" s="8" t="s">
        <v>365</v>
      </c>
      <c r="B828" s="8" t="s">
        <v>377</v>
      </c>
      <c r="C828" s="8" t="s">
        <v>365</v>
      </c>
      <c r="D828" s="8" t="s">
        <v>2259</v>
      </c>
      <c r="E828">
        <f t="shared" si="24"/>
        <v>6000000825</v>
      </c>
      <c r="F828">
        <v>6</v>
      </c>
      <c r="J828">
        <f t="shared" si="25"/>
        <v>20000000824</v>
      </c>
      <c r="K828">
        <v>825</v>
      </c>
    </row>
    <row r="829" spans="1:11" x14ac:dyDescent="0.25">
      <c r="A829" s="8" t="s">
        <v>365</v>
      </c>
      <c r="B829" s="8" t="s">
        <v>1244</v>
      </c>
      <c r="C829" s="8" t="s">
        <v>365</v>
      </c>
      <c r="D829" s="8" t="s">
        <v>2260</v>
      </c>
      <c r="E829">
        <f t="shared" si="24"/>
        <v>6000000826</v>
      </c>
      <c r="F829">
        <v>6</v>
      </c>
      <c r="J829">
        <f t="shared" si="25"/>
        <v>20000000825</v>
      </c>
      <c r="K829">
        <v>826</v>
      </c>
    </row>
    <row r="830" spans="1:11" x14ac:dyDescent="0.25">
      <c r="A830" s="8" t="s">
        <v>365</v>
      </c>
      <c r="B830" s="8" t="s">
        <v>1245</v>
      </c>
      <c r="C830" s="8" t="s">
        <v>365</v>
      </c>
      <c r="D830" s="8" t="s">
        <v>2261</v>
      </c>
      <c r="E830">
        <f t="shared" si="24"/>
        <v>6000000827</v>
      </c>
      <c r="F830">
        <v>6</v>
      </c>
      <c r="J830">
        <f t="shared" si="25"/>
        <v>20000000826</v>
      </c>
      <c r="K830">
        <v>827</v>
      </c>
    </row>
    <row r="831" spans="1:11" x14ac:dyDescent="0.25">
      <c r="A831" s="8" t="s">
        <v>365</v>
      </c>
      <c r="B831" s="8" t="s">
        <v>378</v>
      </c>
      <c r="C831" s="8" t="s">
        <v>365</v>
      </c>
      <c r="D831" s="8" t="s">
        <v>2262</v>
      </c>
      <c r="E831">
        <f t="shared" si="24"/>
        <v>6000000828</v>
      </c>
      <c r="F831">
        <v>6</v>
      </c>
      <c r="J831">
        <f t="shared" si="25"/>
        <v>20000000827</v>
      </c>
      <c r="K831">
        <v>828</v>
      </c>
    </row>
    <row r="832" spans="1:11" x14ac:dyDescent="0.25">
      <c r="A832" s="8" t="s">
        <v>365</v>
      </c>
      <c r="B832" s="8" t="s">
        <v>379</v>
      </c>
      <c r="C832" s="8" t="s">
        <v>365</v>
      </c>
      <c r="D832" s="8" t="s">
        <v>2263</v>
      </c>
      <c r="E832">
        <f t="shared" si="24"/>
        <v>6000000829</v>
      </c>
      <c r="F832">
        <v>6</v>
      </c>
      <c r="J832">
        <f t="shared" si="25"/>
        <v>20000000828</v>
      </c>
      <c r="K832">
        <v>829</v>
      </c>
    </row>
    <row r="833" spans="1:11" x14ac:dyDescent="0.25">
      <c r="A833" s="8" t="s">
        <v>365</v>
      </c>
      <c r="B833" s="8" t="s">
        <v>380</v>
      </c>
      <c r="C833" s="8" t="s">
        <v>365</v>
      </c>
      <c r="D833" s="8" t="s">
        <v>2264</v>
      </c>
      <c r="E833">
        <f t="shared" si="24"/>
        <v>6000000830</v>
      </c>
      <c r="F833">
        <v>6</v>
      </c>
      <c r="J833">
        <f t="shared" si="25"/>
        <v>20000000829</v>
      </c>
      <c r="K833">
        <v>830</v>
      </c>
    </row>
    <row r="834" spans="1:11" x14ac:dyDescent="0.25">
      <c r="A834" s="8" t="s">
        <v>365</v>
      </c>
      <c r="B834" s="8" t="s">
        <v>381</v>
      </c>
      <c r="C834" s="8" t="s">
        <v>365</v>
      </c>
      <c r="D834" s="8" t="s">
        <v>2265</v>
      </c>
      <c r="E834">
        <f t="shared" si="24"/>
        <v>6000000831</v>
      </c>
      <c r="F834">
        <v>6</v>
      </c>
      <c r="J834">
        <f t="shared" si="25"/>
        <v>20000000830</v>
      </c>
      <c r="K834">
        <v>831</v>
      </c>
    </row>
    <row r="835" spans="1:11" x14ac:dyDescent="0.25">
      <c r="A835" s="8" t="s">
        <v>365</v>
      </c>
      <c r="B835" s="8" t="s">
        <v>382</v>
      </c>
      <c r="C835" s="8" t="s">
        <v>365</v>
      </c>
      <c r="D835" s="8" t="s">
        <v>2266</v>
      </c>
      <c r="E835">
        <f t="shared" si="24"/>
        <v>6000000832</v>
      </c>
      <c r="F835">
        <v>6</v>
      </c>
      <c r="J835">
        <f t="shared" si="25"/>
        <v>20000000831</v>
      </c>
      <c r="K835">
        <v>832</v>
      </c>
    </row>
    <row r="836" spans="1:11" x14ac:dyDescent="0.25">
      <c r="A836" s="8" t="s">
        <v>365</v>
      </c>
      <c r="B836" s="8" t="s">
        <v>383</v>
      </c>
      <c r="C836" s="8" t="s">
        <v>365</v>
      </c>
      <c r="D836" s="8" t="s">
        <v>2267</v>
      </c>
      <c r="E836">
        <f t="shared" si="24"/>
        <v>6000000833</v>
      </c>
      <c r="F836">
        <v>6</v>
      </c>
      <c r="J836">
        <f t="shared" si="25"/>
        <v>20000000832</v>
      </c>
      <c r="K836">
        <v>833</v>
      </c>
    </row>
    <row r="837" spans="1:11" x14ac:dyDescent="0.25">
      <c r="A837" s="8" t="s">
        <v>365</v>
      </c>
      <c r="B837" s="8" t="s">
        <v>384</v>
      </c>
      <c r="C837" s="8" t="s">
        <v>365</v>
      </c>
      <c r="D837" s="8" t="s">
        <v>2268</v>
      </c>
      <c r="E837">
        <f t="shared" ref="E837:E900" si="26">IF(F837="",J837,IF(G837="",F837*$F$2+K837,IF(H837="",F837*$F$2+G837*$G$2+K837,IF(I837="",F837*$F$2+G837*$G$2+H837*$H$2+K837,F837*$F$2+G837*$G$2+H837*$H$2+I837*$I$2+K837))))</f>
        <v>6000000834</v>
      </c>
      <c r="F837">
        <v>6</v>
      </c>
      <c r="J837">
        <f t="shared" si="25"/>
        <v>20000000833</v>
      </c>
      <c r="K837">
        <v>834</v>
      </c>
    </row>
    <row r="838" spans="1:11" x14ac:dyDescent="0.25">
      <c r="A838" s="8" t="s">
        <v>365</v>
      </c>
      <c r="B838" s="8" t="s">
        <v>385</v>
      </c>
      <c r="C838" s="8" t="s">
        <v>365</v>
      </c>
      <c r="D838" s="8" t="s">
        <v>2269</v>
      </c>
      <c r="E838">
        <f t="shared" si="26"/>
        <v>6000000835</v>
      </c>
      <c r="F838">
        <v>6</v>
      </c>
      <c r="J838">
        <f t="shared" si="25"/>
        <v>20000000834</v>
      </c>
      <c r="K838">
        <v>835</v>
      </c>
    </row>
    <row r="839" spans="1:11" x14ac:dyDescent="0.25">
      <c r="A839" s="8" t="s">
        <v>365</v>
      </c>
      <c r="B839" s="8" t="s">
        <v>1246</v>
      </c>
      <c r="C839" s="8" t="s">
        <v>365</v>
      </c>
      <c r="D839" s="8" t="s">
        <v>2270</v>
      </c>
      <c r="E839">
        <f t="shared" si="26"/>
        <v>6000000836</v>
      </c>
      <c r="F839">
        <v>6</v>
      </c>
      <c r="J839">
        <f t="shared" si="25"/>
        <v>20000000835</v>
      </c>
      <c r="K839">
        <v>836</v>
      </c>
    </row>
    <row r="840" spans="1:11" x14ac:dyDescent="0.25">
      <c r="A840" s="8" t="s">
        <v>365</v>
      </c>
      <c r="B840" s="8" t="s">
        <v>1247</v>
      </c>
      <c r="C840" s="8" t="s">
        <v>365</v>
      </c>
      <c r="D840" s="8" t="s">
        <v>2271</v>
      </c>
      <c r="E840">
        <f t="shared" si="26"/>
        <v>6000000837</v>
      </c>
      <c r="F840">
        <v>6</v>
      </c>
      <c r="J840">
        <f t="shared" si="25"/>
        <v>20000000836</v>
      </c>
      <c r="K840">
        <v>837</v>
      </c>
    </row>
    <row r="841" spans="1:11" x14ac:dyDescent="0.25">
      <c r="A841" s="8" t="s">
        <v>365</v>
      </c>
      <c r="B841" s="8" t="s">
        <v>386</v>
      </c>
      <c r="C841" s="8" t="s">
        <v>365</v>
      </c>
      <c r="D841" s="8" t="s">
        <v>2272</v>
      </c>
      <c r="E841">
        <f t="shared" si="26"/>
        <v>6000000838</v>
      </c>
      <c r="F841">
        <v>6</v>
      </c>
      <c r="J841">
        <f t="shared" ref="J841:J904" si="27">J840+1</f>
        <v>20000000837</v>
      </c>
      <c r="K841">
        <v>838</v>
      </c>
    </row>
    <row r="842" spans="1:11" x14ac:dyDescent="0.25">
      <c r="A842" s="8" t="s">
        <v>365</v>
      </c>
      <c r="B842" s="8" t="s">
        <v>1248</v>
      </c>
      <c r="C842" s="8" t="s">
        <v>365</v>
      </c>
      <c r="D842" s="8" t="s">
        <v>2273</v>
      </c>
      <c r="E842">
        <f t="shared" si="26"/>
        <v>6000000839</v>
      </c>
      <c r="F842">
        <v>6</v>
      </c>
      <c r="J842">
        <f t="shared" si="27"/>
        <v>20000000838</v>
      </c>
      <c r="K842">
        <v>839</v>
      </c>
    </row>
    <row r="843" spans="1:11" x14ac:dyDescent="0.25">
      <c r="A843" s="8" t="s">
        <v>365</v>
      </c>
      <c r="B843" s="8" t="s">
        <v>1249</v>
      </c>
      <c r="C843" s="8" t="s">
        <v>365</v>
      </c>
      <c r="D843" s="8" t="s">
        <v>2274</v>
      </c>
      <c r="E843">
        <f t="shared" si="26"/>
        <v>6000000840</v>
      </c>
      <c r="F843">
        <v>6</v>
      </c>
      <c r="J843">
        <f t="shared" si="27"/>
        <v>20000000839</v>
      </c>
      <c r="K843">
        <v>840</v>
      </c>
    </row>
    <row r="844" spans="1:11" x14ac:dyDescent="0.25">
      <c r="A844" s="8" t="s">
        <v>365</v>
      </c>
      <c r="B844" s="8" t="s">
        <v>387</v>
      </c>
      <c r="C844" s="8" t="s">
        <v>365</v>
      </c>
      <c r="D844" s="8" t="s">
        <v>2275</v>
      </c>
      <c r="E844">
        <f t="shared" si="26"/>
        <v>6000000841</v>
      </c>
      <c r="F844">
        <v>6</v>
      </c>
      <c r="J844">
        <f t="shared" si="27"/>
        <v>20000000840</v>
      </c>
      <c r="K844">
        <v>841</v>
      </c>
    </row>
    <row r="845" spans="1:11" x14ac:dyDescent="0.25">
      <c r="A845" s="8" t="s">
        <v>365</v>
      </c>
      <c r="B845" s="8" t="s">
        <v>1250</v>
      </c>
      <c r="C845" s="8" t="s">
        <v>365</v>
      </c>
      <c r="D845" s="8" t="s">
        <v>2276</v>
      </c>
      <c r="E845">
        <f t="shared" si="26"/>
        <v>6000000842</v>
      </c>
      <c r="F845">
        <v>6</v>
      </c>
      <c r="J845">
        <f t="shared" si="27"/>
        <v>20000000841</v>
      </c>
      <c r="K845">
        <v>842</v>
      </c>
    </row>
    <row r="846" spans="1:11" x14ac:dyDescent="0.25">
      <c r="A846" s="8" t="s">
        <v>365</v>
      </c>
      <c r="B846" s="8" t="s">
        <v>388</v>
      </c>
      <c r="C846" s="8" t="s">
        <v>365</v>
      </c>
      <c r="D846" s="8" t="s">
        <v>2277</v>
      </c>
      <c r="E846">
        <f t="shared" si="26"/>
        <v>6000000843</v>
      </c>
      <c r="F846">
        <v>6</v>
      </c>
      <c r="J846">
        <f t="shared" si="27"/>
        <v>20000000842</v>
      </c>
      <c r="K846">
        <v>843</v>
      </c>
    </row>
    <row r="847" spans="1:11" x14ac:dyDescent="0.25">
      <c r="A847" s="8" t="s">
        <v>365</v>
      </c>
      <c r="B847" s="8" t="s">
        <v>1251</v>
      </c>
      <c r="C847" s="8" t="s">
        <v>365</v>
      </c>
      <c r="D847" s="8" t="s">
        <v>2278</v>
      </c>
      <c r="E847">
        <f t="shared" si="26"/>
        <v>6000000844</v>
      </c>
      <c r="F847">
        <v>6</v>
      </c>
      <c r="J847">
        <f t="shared" si="27"/>
        <v>20000000843</v>
      </c>
      <c r="K847">
        <v>844</v>
      </c>
    </row>
    <row r="848" spans="1:11" x14ac:dyDescent="0.25">
      <c r="A848" s="8" t="s">
        <v>365</v>
      </c>
      <c r="B848" s="8" t="s">
        <v>389</v>
      </c>
      <c r="C848" s="8" t="s">
        <v>365</v>
      </c>
      <c r="D848" s="8" t="s">
        <v>2279</v>
      </c>
      <c r="E848">
        <f t="shared" si="26"/>
        <v>6000000845</v>
      </c>
      <c r="F848">
        <v>6</v>
      </c>
      <c r="J848">
        <f t="shared" si="27"/>
        <v>20000000844</v>
      </c>
      <c r="K848">
        <v>845</v>
      </c>
    </row>
    <row r="849" spans="1:11" x14ac:dyDescent="0.25">
      <c r="A849" s="8" t="s">
        <v>365</v>
      </c>
      <c r="B849" s="8" t="s">
        <v>1252</v>
      </c>
      <c r="C849" s="8" t="s">
        <v>365</v>
      </c>
      <c r="D849" s="8" t="s">
        <v>2280</v>
      </c>
      <c r="E849">
        <f t="shared" si="26"/>
        <v>6000000846</v>
      </c>
      <c r="F849">
        <v>6</v>
      </c>
      <c r="J849">
        <f t="shared" si="27"/>
        <v>20000000845</v>
      </c>
      <c r="K849">
        <v>846</v>
      </c>
    </row>
    <row r="850" spans="1:11" x14ac:dyDescent="0.25">
      <c r="A850" s="8" t="s">
        <v>365</v>
      </c>
      <c r="B850" s="8" t="s">
        <v>390</v>
      </c>
      <c r="C850" s="8" t="s">
        <v>365</v>
      </c>
      <c r="D850" s="8" t="s">
        <v>2281</v>
      </c>
      <c r="E850">
        <f t="shared" si="26"/>
        <v>6000000847</v>
      </c>
      <c r="F850">
        <v>6</v>
      </c>
      <c r="J850">
        <f t="shared" si="27"/>
        <v>20000000846</v>
      </c>
      <c r="K850">
        <v>847</v>
      </c>
    </row>
    <row r="851" spans="1:11" x14ac:dyDescent="0.25">
      <c r="A851" s="8" t="s">
        <v>365</v>
      </c>
      <c r="B851" s="8" t="s">
        <v>1253</v>
      </c>
      <c r="C851" s="8" t="s">
        <v>365</v>
      </c>
      <c r="D851" s="8" t="s">
        <v>2282</v>
      </c>
      <c r="E851">
        <f t="shared" si="26"/>
        <v>6000000848</v>
      </c>
      <c r="F851">
        <v>6</v>
      </c>
      <c r="J851">
        <f t="shared" si="27"/>
        <v>20000000847</v>
      </c>
      <c r="K851">
        <v>848</v>
      </c>
    </row>
    <row r="852" spans="1:11" x14ac:dyDescent="0.25">
      <c r="A852" s="8" t="s">
        <v>365</v>
      </c>
      <c r="B852" s="8" t="s">
        <v>391</v>
      </c>
      <c r="C852" s="8" t="s">
        <v>365</v>
      </c>
      <c r="D852" s="8" t="s">
        <v>2283</v>
      </c>
      <c r="E852">
        <f t="shared" si="26"/>
        <v>6000000849</v>
      </c>
      <c r="F852">
        <v>6</v>
      </c>
      <c r="J852">
        <f t="shared" si="27"/>
        <v>20000000848</v>
      </c>
      <c r="K852">
        <v>849</v>
      </c>
    </row>
    <row r="853" spans="1:11" x14ac:dyDescent="0.25">
      <c r="A853" s="8" t="s">
        <v>365</v>
      </c>
      <c r="B853" s="8" t="s">
        <v>1254</v>
      </c>
      <c r="C853" s="8" t="s">
        <v>365</v>
      </c>
      <c r="D853" s="8" t="s">
        <v>2284</v>
      </c>
      <c r="E853">
        <f t="shared" si="26"/>
        <v>6000000850</v>
      </c>
      <c r="F853">
        <v>6</v>
      </c>
      <c r="J853">
        <f t="shared" si="27"/>
        <v>20000000849</v>
      </c>
      <c r="K853">
        <v>850</v>
      </c>
    </row>
    <row r="854" spans="1:11" x14ac:dyDescent="0.25">
      <c r="A854" s="8" t="s">
        <v>365</v>
      </c>
      <c r="B854" s="8" t="s">
        <v>1255</v>
      </c>
      <c r="C854" s="8" t="s">
        <v>365</v>
      </c>
      <c r="D854" s="8" t="s">
        <v>2285</v>
      </c>
      <c r="E854">
        <f t="shared" si="26"/>
        <v>6000000851</v>
      </c>
      <c r="F854">
        <v>6</v>
      </c>
      <c r="J854">
        <f t="shared" si="27"/>
        <v>20000000850</v>
      </c>
      <c r="K854">
        <v>851</v>
      </c>
    </row>
    <row r="855" spans="1:11" x14ac:dyDescent="0.25">
      <c r="A855" s="8" t="s">
        <v>365</v>
      </c>
      <c r="B855" s="8" t="s">
        <v>1256</v>
      </c>
      <c r="C855" s="8" t="s">
        <v>365</v>
      </c>
      <c r="D855" s="8" t="s">
        <v>2286</v>
      </c>
      <c r="E855">
        <f t="shared" si="26"/>
        <v>6000000852</v>
      </c>
      <c r="F855">
        <v>6</v>
      </c>
      <c r="J855">
        <f t="shared" si="27"/>
        <v>20000000851</v>
      </c>
      <c r="K855">
        <v>852</v>
      </c>
    </row>
    <row r="856" spans="1:11" x14ac:dyDescent="0.25">
      <c r="A856" s="8" t="s">
        <v>365</v>
      </c>
      <c r="B856" s="8" t="s">
        <v>1257</v>
      </c>
      <c r="C856" s="8" t="s">
        <v>365</v>
      </c>
      <c r="D856" s="8" t="s">
        <v>2287</v>
      </c>
      <c r="E856">
        <f t="shared" si="26"/>
        <v>6000000853</v>
      </c>
      <c r="F856">
        <v>6</v>
      </c>
      <c r="J856">
        <f t="shared" si="27"/>
        <v>20000000852</v>
      </c>
      <c r="K856">
        <v>853</v>
      </c>
    </row>
    <row r="857" spans="1:11" x14ac:dyDescent="0.25">
      <c r="A857" s="8" t="s">
        <v>365</v>
      </c>
      <c r="B857" s="8" t="s">
        <v>1258</v>
      </c>
      <c r="C857" s="8" t="s">
        <v>365</v>
      </c>
      <c r="D857" s="8" t="s">
        <v>2288</v>
      </c>
      <c r="E857">
        <f t="shared" si="26"/>
        <v>6000000854</v>
      </c>
      <c r="F857">
        <v>6</v>
      </c>
      <c r="J857">
        <f t="shared" si="27"/>
        <v>20000000853</v>
      </c>
      <c r="K857">
        <v>854</v>
      </c>
    </row>
    <row r="858" spans="1:11" x14ac:dyDescent="0.25">
      <c r="A858" s="8" t="s">
        <v>365</v>
      </c>
      <c r="B858" s="8" t="s">
        <v>392</v>
      </c>
      <c r="C858" s="8" t="s">
        <v>365</v>
      </c>
      <c r="D858" s="8" t="s">
        <v>2289</v>
      </c>
      <c r="E858">
        <f t="shared" si="26"/>
        <v>6000000855</v>
      </c>
      <c r="F858">
        <v>6</v>
      </c>
      <c r="J858">
        <f t="shared" si="27"/>
        <v>20000000854</v>
      </c>
      <c r="K858">
        <v>855</v>
      </c>
    </row>
    <row r="859" spans="1:11" x14ac:dyDescent="0.25">
      <c r="A859" s="8" t="s">
        <v>365</v>
      </c>
      <c r="B859" s="8" t="s">
        <v>1259</v>
      </c>
      <c r="C859" s="8" t="s">
        <v>365</v>
      </c>
      <c r="D859" s="8" t="s">
        <v>2290</v>
      </c>
      <c r="E859">
        <f t="shared" si="26"/>
        <v>6000000856</v>
      </c>
      <c r="F859">
        <v>6</v>
      </c>
      <c r="J859">
        <f t="shared" si="27"/>
        <v>20000000855</v>
      </c>
      <c r="K859">
        <v>856</v>
      </c>
    </row>
    <row r="860" spans="1:11" x14ac:dyDescent="0.25">
      <c r="A860" s="8" t="s">
        <v>365</v>
      </c>
      <c r="B860" s="8" t="s">
        <v>1260</v>
      </c>
      <c r="C860" s="8" t="s">
        <v>365</v>
      </c>
      <c r="D860" s="8" t="s">
        <v>2291</v>
      </c>
      <c r="E860">
        <f t="shared" si="26"/>
        <v>6000000857</v>
      </c>
      <c r="F860">
        <v>6</v>
      </c>
      <c r="J860">
        <f t="shared" si="27"/>
        <v>20000000856</v>
      </c>
      <c r="K860">
        <v>857</v>
      </c>
    </row>
    <row r="861" spans="1:11" x14ac:dyDescent="0.25">
      <c r="A861" s="8" t="s">
        <v>365</v>
      </c>
      <c r="B861" s="8" t="s">
        <v>393</v>
      </c>
      <c r="C861" s="8" t="s">
        <v>365</v>
      </c>
      <c r="D861" s="8" t="s">
        <v>2292</v>
      </c>
      <c r="E861">
        <f t="shared" si="26"/>
        <v>6000000858</v>
      </c>
      <c r="F861">
        <v>6</v>
      </c>
      <c r="J861">
        <f t="shared" si="27"/>
        <v>20000000857</v>
      </c>
      <c r="K861">
        <v>858</v>
      </c>
    </row>
    <row r="862" spans="1:11" x14ac:dyDescent="0.25">
      <c r="A862" s="8" t="s">
        <v>72</v>
      </c>
      <c r="B862" s="8" t="s">
        <v>1261</v>
      </c>
      <c r="C862" s="8" t="s">
        <v>72</v>
      </c>
      <c r="D862" s="8" t="s">
        <v>2293</v>
      </c>
      <c r="E862">
        <f t="shared" si="26"/>
        <v>6000000859</v>
      </c>
      <c r="F862">
        <v>6</v>
      </c>
      <c r="J862">
        <f t="shared" si="27"/>
        <v>20000000858</v>
      </c>
      <c r="K862">
        <v>859</v>
      </c>
    </row>
    <row r="863" spans="1:11" x14ac:dyDescent="0.25">
      <c r="A863" s="8" t="s">
        <v>72</v>
      </c>
      <c r="B863" s="8" t="s">
        <v>969</v>
      </c>
      <c r="C863" s="8" t="s">
        <v>72</v>
      </c>
      <c r="D863" s="8" t="s">
        <v>2294</v>
      </c>
      <c r="E863">
        <f t="shared" si="26"/>
        <v>6000000860</v>
      </c>
      <c r="F863">
        <v>6</v>
      </c>
      <c r="J863">
        <f t="shared" si="27"/>
        <v>20000000859</v>
      </c>
      <c r="K863">
        <v>860</v>
      </c>
    </row>
    <row r="864" spans="1:11" x14ac:dyDescent="0.25">
      <c r="A864" s="8" t="s">
        <v>72</v>
      </c>
      <c r="B864" s="8" t="s">
        <v>1262</v>
      </c>
      <c r="C864" s="8" t="s">
        <v>72</v>
      </c>
      <c r="D864" s="8" t="s">
        <v>2295</v>
      </c>
      <c r="E864">
        <f t="shared" si="26"/>
        <v>6000000861</v>
      </c>
      <c r="F864">
        <v>6</v>
      </c>
      <c r="J864">
        <f t="shared" si="27"/>
        <v>20000000860</v>
      </c>
      <c r="K864">
        <v>861</v>
      </c>
    </row>
    <row r="865" spans="1:11" x14ac:dyDescent="0.25">
      <c r="A865" s="8" t="s">
        <v>72</v>
      </c>
      <c r="B865" s="8" t="s">
        <v>1263</v>
      </c>
      <c r="C865" s="8" t="s">
        <v>72</v>
      </c>
      <c r="D865" s="8" t="s">
        <v>2296</v>
      </c>
      <c r="E865">
        <f t="shared" si="26"/>
        <v>6000000862</v>
      </c>
      <c r="F865">
        <v>6</v>
      </c>
      <c r="J865">
        <f t="shared" si="27"/>
        <v>20000000861</v>
      </c>
      <c r="K865">
        <v>862</v>
      </c>
    </row>
    <row r="866" spans="1:11" x14ac:dyDescent="0.25">
      <c r="A866" s="8" t="s">
        <v>72</v>
      </c>
      <c r="B866" s="8" t="s">
        <v>970</v>
      </c>
      <c r="C866" s="8" t="s">
        <v>72</v>
      </c>
      <c r="D866" s="8" t="s">
        <v>2297</v>
      </c>
      <c r="E866">
        <f t="shared" si="26"/>
        <v>6000000863</v>
      </c>
      <c r="F866">
        <v>6</v>
      </c>
      <c r="J866">
        <f t="shared" si="27"/>
        <v>20000000862</v>
      </c>
      <c r="K866">
        <v>863</v>
      </c>
    </row>
    <row r="867" spans="1:11" x14ac:dyDescent="0.25">
      <c r="A867" s="8" t="s">
        <v>72</v>
      </c>
      <c r="B867" s="8" t="s">
        <v>73</v>
      </c>
      <c r="C867" s="8" t="s">
        <v>72</v>
      </c>
      <c r="D867" s="8" t="s">
        <v>2298</v>
      </c>
      <c r="E867">
        <f t="shared" si="26"/>
        <v>6000000864</v>
      </c>
      <c r="F867">
        <v>6</v>
      </c>
      <c r="J867">
        <f t="shared" si="27"/>
        <v>20000000863</v>
      </c>
      <c r="K867">
        <v>864</v>
      </c>
    </row>
    <row r="868" spans="1:11" x14ac:dyDescent="0.25">
      <c r="A868" s="8" t="s">
        <v>72</v>
      </c>
      <c r="B868" s="8" t="s">
        <v>394</v>
      </c>
      <c r="C868" s="8" t="s">
        <v>72</v>
      </c>
      <c r="D868" s="8" t="s">
        <v>2299</v>
      </c>
      <c r="E868">
        <f t="shared" si="26"/>
        <v>6000000865</v>
      </c>
      <c r="F868">
        <v>6</v>
      </c>
      <c r="J868">
        <f t="shared" si="27"/>
        <v>20000000864</v>
      </c>
      <c r="K868">
        <v>865</v>
      </c>
    </row>
    <row r="869" spans="1:11" x14ac:dyDescent="0.25">
      <c r="A869" s="8" t="s">
        <v>72</v>
      </c>
      <c r="B869" s="8" t="s">
        <v>807</v>
      </c>
      <c r="C869" s="8" t="s">
        <v>72</v>
      </c>
      <c r="D869" s="8" t="s">
        <v>2300</v>
      </c>
      <c r="E869">
        <f t="shared" si="26"/>
        <v>6000000866</v>
      </c>
      <c r="F869">
        <v>6</v>
      </c>
      <c r="J869">
        <f t="shared" si="27"/>
        <v>20000000865</v>
      </c>
      <c r="K869">
        <v>866</v>
      </c>
    </row>
    <row r="870" spans="1:11" x14ac:dyDescent="0.25">
      <c r="A870" s="8" t="s">
        <v>72</v>
      </c>
      <c r="B870" s="8" t="s">
        <v>395</v>
      </c>
      <c r="C870" s="8" t="s">
        <v>72</v>
      </c>
      <c r="D870" s="8" t="s">
        <v>2301</v>
      </c>
      <c r="E870">
        <f t="shared" si="26"/>
        <v>6000000867</v>
      </c>
      <c r="F870">
        <v>6</v>
      </c>
      <c r="J870">
        <f t="shared" si="27"/>
        <v>20000000866</v>
      </c>
      <c r="K870">
        <v>867</v>
      </c>
    </row>
    <row r="871" spans="1:11" x14ac:dyDescent="0.25">
      <c r="A871" s="8" t="s">
        <v>72</v>
      </c>
      <c r="B871" s="8" t="s">
        <v>685</v>
      </c>
      <c r="C871" s="8" t="s">
        <v>72</v>
      </c>
      <c r="D871" s="8" t="s">
        <v>2302</v>
      </c>
      <c r="E871">
        <f t="shared" si="26"/>
        <v>6000000868</v>
      </c>
      <c r="F871">
        <v>6</v>
      </c>
      <c r="J871">
        <f t="shared" si="27"/>
        <v>20000000867</v>
      </c>
      <c r="K871">
        <v>868</v>
      </c>
    </row>
    <row r="872" spans="1:11" x14ac:dyDescent="0.25">
      <c r="A872" s="8" t="s">
        <v>72</v>
      </c>
      <c r="B872" s="8" t="s">
        <v>686</v>
      </c>
      <c r="C872" s="8" t="s">
        <v>72</v>
      </c>
      <c r="D872" s="8" t="s">
        <v>2303</v>
      </c>
      <c r="E872">
        <f t="shared" si="26"/>
        <v>6000000869</v>
      </c>
      <c r="F872">
        <v>6</v>
      </c>
      <c r="J872">
        <f t="shared" si="27"/>
        <v>20000000868</v>
      </c>
      <c r="K872">
        <v>869</v>
      </c>
    </row>
    <row r="873" spans="1:11" x14ac:dyDescent="0.25">
      <c r="A873" s="8" t="s">
        <v>72</v>
      </c>
      <c r="B873" s="8" t="s">
        <v>687</v>
      </c>
      <c r="C873" s="8" t="s">
        <v>72</v>
      </c>
      <c r="D873" s="8" t="s">
        <v>2304</v>
      </c>
      <c r="E873">
        <f t="shared" si="26"/>
        <v>6000000870</v>
      </c>
      <c r="F873">
        <v>6</v>
      </c>
      <c r="J873">
        <f t="shared" si="27"/>
        <v>20000000869</v>
      </c>
      <c r="K873">
        <v>870</v>
      </c>
    </row>
    <row r="874" spans="1:11" x14ac:dyDescent="0.25">
      <c r="A874" s="8" t="s">
        <v>72</v>
      </c>
      <c r="B874" s="8" t="s">
        <v>74</v>
      </c>
      <c r="C874" s="8" t="s">
        <v>72</v>
      </c>
      <c r="D874" s="8" t="s">
        <v>2305</v>
      </c>
      <c r="E874">
        <f t="shared" si="26"/>
        <v>6000000871</v>
      </c>
      <c r="F874">
        <v>6</v>
      </c>
      <c r="J874">
        <f t="shared" si="27"/>
        <v>20000000870</v>
      </c>
      <c r="K874">
        <v>871</v>
      </c>
    </row>
    <row r="875" spans="1:11" x14ac:dyDescent="0.25">
      <c r="A875" s="8" t="s">
        <v>72</v>
      </c>
      <c r="B875" s="8" t="s">
        <v>75</v>
      </c>
      <c r="C875" s="8" t="s">
        <v>72</v>
      </c>
      <c r="D875" s="8" t="s">
        <v>2306</v>
      </c>
      <c r="E875">
        <f t="shared" si="26"/>
        <v>6000000872</v>
      </c>
      <c r="F875">
        <v>6</v>
      </c>
      <c r="J875">
        <f t="shared" si="27"/>
        <v>20000000871</v>
      </c>
      <c r="K875">
        <v>872</v>
      </c>
    </row>
    <row r="876" spans="1:11" x14ac:dyDescent="0.25">
      <c r="A876" s="8" t="s">
        <v>72</v>
      </c>
      <c r="B876" s="8" t="s">
        <v>688</v>
      </c>
      <c r="C876" s="8" t="s">
        <v>72</v>
      </c>
      <c r="D876" s="8" t="s">
        <v>2307</v>
      </c>
      <c r="E876">
        <f t="shared" si="26"/>
        <v>6000000873</v>
      </c>
      <c r="F876">
        <v>6</v>
      </c>
      <c r="J876">
        <f t="shared" si="27"/>
        <v>20000000872</v>
      </c>
      <c r="K876">
        <v>873</v>
      </c>
    </row>
    <row r="877" spans="1:11" x14ac:dyDescent="0.25">
      <c r="A877" s="8" t="s">
        <v>72</v>
      </c>
      <c r="B877" s="8" t="s">
        <v>689</v>
      </c>
      <c r="C877" s="8" t="s">
        <v>72</v>
      </c>
      <c r="D877" s="8" t="s">
        <v>2308</v>
      </c>
      <c r="E877">
        <f t="shared" si="26"/>
        <v>6000000874</v>
      </c>
      <c r="F877">
        <v>6</v>
      </c>
      <c r="J877">
        <f t="shared" si="27"/>
        <v>20000000873</v>
      </c>
      <c r="K877">
        <v>874</v>
      </c>
    </row>
    <row r="878" spans="1:11" x14ac:dyDescent="0.25">
      <c r="A878" s="8" t="s">
        <v>72</v>
      </c>
      <c r="B878" s="8" t="s">
        <v>396</v>
      </c>
      <c r="C878" s="8" t="s">
        <v>72</v>
      </c>
      <c r="D878" s="8" t="s">
        <v>2309</v>
      </c>
      <c r="E878">
        <f t="shared" si="26"/>
        <v>6000000875</v>
      </c>
      <c r="F878">
        <v>6</v>
      </c>
      <c r="J878">
        <f t="shared" si="27"/>
        <v>20000000874</v>
      </c>
      <c r="K878">
        <v>875</v>
      </c>
    </row>
    <row r="879" spans="1:11" x14ac:dyDescent="0.25">
      <c r="A879" s="8" t="s">
        <v>72</v>
      </c>
      <c r="B879" s="8" t="s">
        <v>1460</v>
      </c>
      <c r="C879" s="8" t="s">
        <v>72</v>
      </c>
      <c r="D879" s="8" t="s">
        <v>2310</v>
      </c>
      <c r="E879">
        <f t="shared" si="26"/>
        <v>6000000876</v>
      </c>
      <c r="F879">
        <v>6</v>
      </c>
      <c r="J879">
        <f t="shared" si="27"/>
        <v>20000000875</v>
      </c>
      <c r="K879">
        <v>876</v>
      </c>
    </row>
    <row r="880" spans="1:11" x14ac:dyDescent="0.25">
      <c r="A880" s="8" t="s">
        <v>72</v>
      </c>
      <c r="B880" s="8" t="s">
        <v>397</v>
      </c>
      <c r="C880" s="8" t="s">
        <v>72</v>
      </c>
      <c r="D880" s="8" t="s">
        <v>2311</v>
      </c>
      <c r="E880">
        <f t="shared" si="26"/>
        <v>6000000877</v>
      </c>
      <c r="F880">
        <v>6</v>
      </c>
      <c r="J880">
        <f t="shared" si="27"/>
        <v>20000000876</v>
      </c>
      <c r="K880">
        <v>877</v>
      </c>
    </row>
    <row r="881" spans="1:11" x14ac:dyDescent="0.25">
      <c r="A881" s="8" t="s">
        <v>72</v>
      </c>
      <c r="B881" s="8" t="s">
        <v>76</v>
      </c>
      <c r="C881" s="8" t="s">
        <v>72</v>
      </c>
      <c r="D881" s="8" t="s">
        <v>2312</v>
      </c>
      <c r="E881">
        <f t="shared" si="26"/>
        <v>6000000878</v>
      </c>
      <c r="F881">
        <v>6</v>
      </c>
      <c r="J881">
        <f t="shared" si="27"/>
        <v>20000000877</v>
      </c>
      <c r="K881">
        <v>878</v>
      </c>
    </row>
    <row r="882" spans="1:11" x14ac:dyDescent="0.25">
      <c r="A882" s="8" t="s">
        <v>72</v>
      </c>
      <c r="B882" s="8" t="s">
        <v>398</v>
      </c>
      <c r="C882" s="8" t="s">
        <v>72</v>
      </c>
      <c r="D882" s="8" t="s">
        <v>2313</v>
      </c>
      <c r="E882">
        <f t="shared" si="26"/>
        <v>6000000879</v>
      </c>
      <c r="F882">
        <v>6</v>
      </c>
      <c r="J882">
        <f t="shared" si="27"/>
        <v>20000000878</v>
      </c>
      <c r="K882">
        <v>879</v>
      </c>
    </row>
    <row r="883" spans="1:11" x14ac:dyDescent="0.25">
      <c r="A883" s="8" t="s">
        <v>72</v>
      </c>
      <c r="B883" s="8" t="s">
        <v>399</v>
      </c>
      <c r="C883" s="8" t="s">
        <v>72</v>
      </c>
      <c r="D883" s="8" t="s">
        <v>2314</v>
      </c>
      <c r="E883">
        <f t="shared" si="26"/>
        <v>6000000880</v>
      </c>
      <c r="F883">
        <v>6</v>
      </c>
      <c r="J883">
        <f t="shared" si="27"/>
        <v>20000000879</v>
      </c>
      <c r="K883">
        <v>880</v>
      </c>
    </row>
    <row r="884" spans="1:11" x14ac:dyDescent="0.25">
      <c r="A884" s="8" t="s">
        <v>72</v>
      </c>
      <c r="B884" s="8" t="s">
        <v>400</v>
      </c>
      <c r="C884" s="8" t="s">
        <v>72</v>
      </c>
      <c r="D884" s="8" t="s">
        <v>2315</v>
      </c>
      <c r="E884">
        <f t="shared" si="26"/>
        <v>6000000881</v>
      </c>
      <c r="F884">
        <v>6</v>
      </c>
      <c r="J884">
        <f t="shared" si="27"/>
        <v>20000000880</v>
      </c>
      <c r="K884">
        <v>881</v>
      </c>
    </row>
    <row r="885" spans="1:11" x14ac:dyDescent="0.25">
      <c r="A885" s="8" t="s">
        <v>72</v>
      </c>
      <c r="B885" s="8" t="s">
        <v>401</v>
      </c>
      <c r="C885" s="8" t="s">
        <v>72</v>
      </c>
      <c r="D885" s="8" t="s">
        <v>2316</v>
      </c>
      <c r="E885">
        <f t="shared" si="26"/>
        <v>6000000882</v>
      </c>
      <c r="F885">
        <v>6</v>
      </c>
      <c r="J885">
        <f t="shared" si="27"/>
        <v>20000000881</v>
      </c>
      <c r="K885">
        <v>882</v>
      </c>
    </row>
    <row r="886" spans="1:11" x14ac:dyDescent="0.25">
      <c r="A886" s="8" t="s">
        <v>72</v>
      </c>
      <c r="B886" s="8" t="s">
        <v>402</v>
      </c>
      <c r="C886" s="8" t="s">
        <v>72</v>
      </c>
      <c r="D886" s="8" t="s">
        <v>2317</v>
      </c>
      <c r="E886">
        <f t="shared" si="26"/>
        <v>6000000883</v>
      </c>
      <c r="F886">
        <v>6</v>
      </c>
      <c r="J886">
        <f t="shared" si="27"/>
        <v>20000000882</v>
      </c>
      <c r="K886">
        <v>883</v>
      </c>
    </row>
    <row r="887" spans="1:11" x14ac:dyDescent="0.25">
      <c r="A887" s="8" t="s">
        <v>72</v>
      </c>
      <c r="B887" s="8" t="s">
        <v>403</v>
      </c>
      <c r="C887" s="8" t="s">
        <v>72</v>
      </c>
      <c r="D887" s="8" t="s">
        <v>2318</v>
      </c>
      <c r="E887">
        <f t="shared" si="26"/>
        <v>6000000884</v>
      </c>
      <c r="F887">
        <v>6</v>
      </c>
      <c r="J887">
        <f t="shared" si="27"/>
        <v>20000000883</v>
      </c>
      <c r="K887">
        <v>884</v>
      </c>
    </row>
    <row r="888" spans="1:11" x14ac:dyDescent="0.25">
      <c r="A888" s="8" t="s">
        <v>72</v>
      </c>
      <c r="B888" s="8" t="s">
        <v>404</v>
      </c>
      <c r="C888" s="8" t="s">
        <v>72</v>
      </c>
      <c r="D888" s="8" t="s">
        <v>2319</v>
      </c>
      <c r="E888">
        <f t="shared" si="26"/>
        <v>6000000885</v>
      </c>
      <c r="F888">
        <v>6</v>
      </c>
      <c r="J888">
        <f t="shared" si="27"/>
        <v>20000000884</v>
      </c>
      <c r="K888">
        <v>885</v>
      </c>
    </row>
    <row r="889" spans="1:11" x14ac:dyDescent="0.25">
      <c r="A889" s="8" t="s">
        <v>72</v>
      </c>
      <c r="B889" s="8" t="s">
        <v>690</v>
      </c>
      <c r="C889" s="8" t="s">
        <v>72</v>
      </c>
      <c r="D889" s="8" t="s">
        <v>2320</v>
      </c>
      <c r="E889">
        <f t="shared" si="26"/>
        <v>6000000886</v>
      </c>
      <c r="F889">
        <v>6</v>
      </c>
      <c r="J889">
        <f t="shared" si="27"/>
        <v>20000000885</v>
      </c>
      <c r="K889">
        <v>886</v>
      </c>
    </row>
    <row r="890" spans="1:11" x14ac:dyDescent="0.25">
      <c r="A890" s="8" t="s">
        <v>72</v>
      </c>
      <c r="B890" s="8" t="s">
        <v>405</v>
      </c>
      <c r="C890" s="8" t="s">
        <v>72</v>
      </c>
      <c r="D890" s="8" t="s">
        <v>2321</v>
      </c>
      <c r="E890">
        <f t="shared" si="26"/>
        <v>6000000887</v>
      </c>
      <c r="F890">
        <v>6</v>
      </c>
      <c r="J890">
        <f t="shared" si="27"/>
        <v>20000000886</v>
      </c>
      <c r="K890">
        <v>887</v>
      </c>
    </row>
    <row r="891" spans="1:11" x14ac:dyDescent="0.25">
      <c r="A891" s="8" t="s">
        <v>72</v>
      </c>
      <c r="B891" s="8" t="s">
        <v>406</v>
      </c>
      <c r="C891" s="8" t="s">
        <v>72</v>
      </c>
      <c r="D891" s="8" t="s">
        <v>2322</v>
      </c>
      <c r="E891">
        <f t="shared" si="26"/>
        <v>6000000888</v>
      </c>
      <c r="F891">
        <v>6</v>
      </c>
      <c r="J891">
        <f t="shared" si="27"/>
        <v>20000000887</v>
      </c>
      <c r="K891">
        <v>888</v>
      </c>
    </row>
    <row r="892" spans="1:11" x14ac:dyDescent="0.25">
      <c r="A892" s="8" t="s">
        <v>72</v>
      </c>
      <c r="B892" s="8" t="s">
        <v>407</v>
      </c>
      <c r="C892" s="8" t="s">
        <v>72</v>
      </c>
      <c r="D892" s="8" t="s">
        <v>2323</v>
      </c>
      <c r="E892">
        <f t="shared" si="26"/>
        <v>6000000889</v>
      </c>
      <c r="F892">
        <v>6</v>
      </c>
      <c r="J892">
        <f t="shared" si="27"/>
        <v>20000000888</v>
      </c>
      <c r="K892">
        <v>889</v>
      </c>
    </row>
    <row r="893" spans="1:11" x14ac:dyDescent="0.25">
      <c r="A893" s="8" t="s">
        <v>72</v>
      </c>
      <c r="B893" s="8" t="s">
        <v>408</v>
      </c>
      <c r="C893" s="8" t="s">
        <v>72</v>
      </c>
      <c r="D893" s="8" t="s">
        <v>2324</v>
      </c>
      <c r="E893">
        <f t="shared" si="26"/>
        <v>6000000890</v>
      </c>
      <c r="F893">
        <v>6</v>
      </c>
      <c r="J893">
        <f t="shared" si="27"/>
        <v>20000000889</v>
      </c>
      <c r="K893">
        <v>890</v>
      </c>
    </row>
    <row r="894" spans="1:11" x14ac:dyDescent="0.25">
      <c r="A894" s="8" t="s">
        <v>72</v>
      </c>
      <c r="B894" s="8" t="s">
        <v>691</v>
      </c>
      <c r="C894" s="8" t="s">
        <v>72</v>
      </c>
      <c r="D894" s="8" t="s">
        <v>2325</v>
      </c>
      <c r="E894">
        <f t="shared" si="26"/>
        <v>6000000891</v>
      </c>
      <c r="F894">
        <v>6</v>
      </c>
      <c r="J894">
        <f t="shared" si="27"/>
        <v>20000000890</v>
      </c>
      <c r="K894">
        <v>891</v>
      </c>
    </row>
    <row r="895" spans="1:11" x14ac:dyDescent="0.25">
      <c r="A895" s="8" t="s">
        <v>72</v>
      </c>
      <c r="B895" s="8" t="s">
        <v>77</v>
      </c>
      <c r="C895" s="8" t="s">
        <v>72</v>
      </c>
      <c r="D895" s="8" t="s">
        <v>2326</v>
      </c>
      <c r="E895">
        <f t="shared" si="26"/>
        <v>6000000892</v>
      </c>
      <c r="F895">
        <v>6</v>
      </c>
      <c r="J895">
        <f t="shared" si="27"/>
        <v>20000000891</v>
      </c>
      <c r="K895">
        <v>892</v>
      </c>
    </row>
    <row r="896" spans="1:11" x14ac:dyDescent="0.25">
      <c r="A896" s="8" t="s">
        <v>72</v>
      </c>
      <c r="B896" s="8" t="s">
        <v>1461</v>
      </c>
      <c r="C896" s="8" t="s">
        <v>72</v>
      </c>
      <c r="D896" s="8" t="s">
        <v>2327</v>
      </c>
      <c r="E896">
        <f t="shared" si="26"/>
        <v>6000000893</v>
      </c>
      <c r="F896">
        <v>6</v>
      </c>
      <c r="J896">
        <f t="shared" si="27"/>
        <v>20000000892</v>
      </c>
      <c r="K896">
        <v>893</v>
      </c>
    </row>
    <row r="897" spans="1:11" x14ac:dyDescent="0.25">
      <c r="A897" s="8" t="s">
        <v>72</v>
      </c>
      <c r="B897" s="8" t="s">
        <v>409</v>
      </c>
      <c r="C897" s="8" t="s">
        <v>72</v>
      </c>
      <c r="D897" s="8" t="s">
        <v>2328</v>
      </c>
      <c r="E897">
        <f t="shared" si="26"/>
        <v>6000000894</v>
      </c>
      <c r="F897">
        <v>6</v>
      </c>
      <c r="J897">
        <f t="shared" si="27"/>
        <v>20000000893</v>
      </c>
      <c r="K897">
        <v>894</v>
      </c>
    </row>
    <row r="898" spans="1:11" x14ac:dyDescent="0.25">
      <c r="A898" s="8" t="s">
        <v>72</v>
      </c>
      <c r="B898" s="8" t="s">
        <v>410</v>
      </c>
      <c r="C898" s="8" t="s">
        <v>72</v>
      </c>
      <c r="D898" s="8" t="s">
        <v>2329</v>
      </c>
      <c r="E898">
        <f t="shared" si="26"/>
        <v>6000000895</v>
      </c>
      <c r="F898">
        <v>6</v>
      </c>
      <c r="J898">
        <f t="shared" si="27"/>
        <v>20000000894</v>
      </c>
      <c r="K898">
        <v>895</v>
      </c>
    </row>
    <row r="899" spans="1:11" x14ac:dyDescent="0.25">
      <c r="A899" s="8" t="s">
        <v>72</v>
      </c>
      <c r="B899" s="8" t="s">
        <v>411</v>
      </c>
      <c r="C899" s="8" t="s">
        <v>72</v>
      </c>
      <c r="D899" s="8" t="s">
        <v>2330</v>
      </c>
      <c r="E899">
        <f t="shared" si="26"/>
        <v>6000000896</v>
      </c>
      <c r="F899">
        <v>6</v>
      </c>
      <c r="J899">
        <f t="shared" si="27"/>
        <v>20000000895</v>
      </c>
      <c r="K899">
        <v>896</v>
      </c>
    </row>
    <row r="900" spans="1:11" x14ac:dyDescent="0.25">
      <c r="A900" s="8" t="s">
        <v>72</v>
      </c>
      <c r="B900" s="8" t="s">
        <v>412</v>
      </c>
      <c r="C900" s="8" t="s">
        <v>72</v>
      </c>
      <c r="D900" s="8" t="s">
        <v>2331</v>
      </c>
      <c r="E900">
        <f t="shared" si="26"/>
        <v>6000000897</v>
      </c>
      <c r="F900">
        <v>6</v>
      </c>
      <c r="J900">
        <f t="shared" si="27"/>
        <v>20000000896</v>
      </c>
      <c r="K900">
        <v>897</v>
      </c>
    </row>
    <row r="901" spans="1:11" x14ac:dyDescent="0.25">
      <c r="A901" s="8" t="s">
        <v>72</v>
      </c>
      <c r="B901" s="8" t="s">
        <v>413</v>
      </c>
      <c r="C901" s="8" t="s">
        <v>72</v>
      </c>
      <c r="D901" s="8" t="s">
        <v>2332</v>
      </c>
      <c r="E901">
        <f t="shared" ref="E901:E964" si="28">IF(F901="",J901,IF(G901="",F901*$F$2+K901,IF(H901="",F901*$F$2+G901*$G$2+K901,IF(I901="",F901*$F$2+G901*$G$2+H901*$H$2+K901,F901*$F$2+G901*$G$2+H901*$H$2+I901*$I$2+K901))))</f>
        <v>6000000898</v>
      </c>
      <c r="F901">
        <v>6</v>
      </c>
      <c r="J901">
        <f t="shared" si="27"/>
        <v>20000000897</v>
      </c>
      <c r="K901">
        <v>898</v>
      </c>
    </row>
    <row r="902" spans="1:11" x14ac:dyDescent="0.25">
      <c r="A902" s="8" t="s">
        <v>72</v>
      </c>
      <c r="B902" s="8" t="s">
        <v>808</v>
      </c>
      <c r="C902" s="8" t="s">
        <v>72</v>
      </c>
      <c r="D902" s="8" t="s">
        <v>2333</v>
      </c>
      <c r="E902">
        <f t="shared" si="28"/>
        <v>6000000899</v>
      </c>
      <c r="F902">
        <v>6</v>
      </c>
      <c r="J902">
        <f t="shared" si="27"/>
        <v>20000000898</v>
      </c>
      <c r="K902">
        <v>899</v>
      </c>
    </row>
    <row r="903" spans="1:11" x14ac:dyDescent="0.25">
      <c r="A903" s="8" t="s">
        <v>72</v>
      </c>
      <c r="B903" s="8" t="s">
        <v>414</v>
      </c>
      <c r="C903" s="8" t="s">
        <v>72</v>
      </c>
      <c r="D903" s="8" t="s">
        <v>2334</v>
      </c>
      <c r="E903">
        <f t="shared" si="28"/>
        <v>6000000900</v>
      </c>
      <c r="F903">
        <v>6</v>
      </c>
      <c r="J903">
        <f t="shared" si="27"/>
        <v>20000000899</v>
      </c>
      <c r="K903">
        <v>900</v>
      </c>
    </row>
    <row r="904" spans="1:11" x14ac:dyDescent="0.25">
      <c r="A904" s="8" t="s">
        <v>72</v>
      </c>
      <c r="B904" s="8" t="s">
        <v>415</v>
      </c>
      <c r="C904" s="8" t="s">
        <v>72</v>
      </c>
      <c r="D904" s="8" t="s">
        <v>2335</v>
      </c>
      <c r="E904">
        <f t="shared" si="28"/>
        <v>6000000901</v>
      </c>
      <c r="F904">
        <v>6</v>
      </c>
      <c r="J904">
        <f t="shared" si="27"/>
        <v>20000000900</v>
      </c>
      <c r="K904">
        <v>901</v>
      </c>
    </row>
    <row r="905" spans="1:11" x14ac:dyDescent="0.25">
      <c r="A905" s="8" t="s">
        <v>72</v>
      </c>
      <c r="B905" s="8" t="s">
        <v>416</v>
      </c>
      <c r="C905" s="8" t="s">
        <v>72</v>
      </c>
      <c r="D905" s="8" t="s">
        <v>2336</v>
      </c>
      <c r="E905">
        <f t="shared" si="28"/>
        <v>6000000902</v>
      </c>
      <c r="F905">
        <v>6</v>
      </c>
      <c r="J905">
        <f t="shared" ref="J905:J968" si="29">J904+1</f>
        <v>20000000901</v>
      </c>
      <c r="K905">
        <v>902</v>
      </c>
    </row>
    <row r="906" spans="1:11" x14ac:dyDescent="0.25">
      <c r="A906" s="8" t="s">
        <v>72</v>
      </c>
      <c r="B906" s="8" t="s">
        <v>417</v>
      </c>
      <c r="C906" s="8" t="s">
        <v>72</v>
      </c>
      <c r="D906" s="8" t="s">
        <v>2337</v>
      </c>
      <c r="E906">
        <f t="shared" si="28"/>
        <v>6000000903</v>
      </c>
      <c r="F906">
        <v>6</v>
      </c>
      <c r="J906">
        <f t="shared" si="29"/>
        <v>20000000902</v>
      </c>
      <c r="K906">
        <v>903</v>
      </c>
    </row>
    <row r="907" spans="1:11" x14ac:dyDescent="0.25">
      <c r="A907" s="8" t="s">
        <v>72</v>
      </c>
      <c r="B907" s="8" t="s">
        <v>809</v>
      </c>
      <c r="C907" s="8" t="s">
        <v>72</v>
      </c>
      <c r="D907" s="8" t="s">
        <v>2338</v>
      </c>
      <c r="E907">
        <f t="shared" si="28"/>
        <v>6000000904</v>
      </c>
      <c r="F907">
        <v>6</v>
      </c>
      <c r="J907">
        <f t="shared" si="29"/>
        <v>20000000903</v>
      </c>
      <c r="K907">
        <v>904</v>
      </c>
    </row>
    <row r="908" spans="1:11" x14ac:dyDescent="0.25">
      <c r="A908" s="8" t="s">
        <v>72</v>
      </c>
      <c r="B908" s="8" t="s">
        <v>418</v>
      </c>
      <c r="C908" s="8" t="s">
        <v>72</v>
      </c>
      <c r="D908" s="8" t="s">
        <v>2339</v>
      </c>
      <c r="E908">
        <f t="shared" si="28"/>
        <v>6000000905</v>
      </c>
      <c r="F908">
        <v>6</v>
      </c>
      <c r="J908">
        <f t="shared" si="29"/>
        <v>20000000904</v>
      </c>
      <c r="K908">
        <v>905</v>
      </c>
    </row>
    <row r="909" spans="1:11" x14ac:dyDescent="0.25">
      <c r="A909" s="8" t="s">
        <v>72</v>
      </c>
      <c r="B909" s="8" t="s">
        <v>692</v>
      </c>
      <c r="C909" s="8" t="s">
        <v>72</v>
      </c>
      <c r="D909" s="8" t="s">
        <v>2340</v>
      </c>
      <c r="E909">
        <f t="shared" si="28"/>
        <v>6000000906</v>
      </c>
      <c r="F909">
        <v>6</v>
      </c>
      <c r="J909">
        <f t="shared" si="29"/>
        <v>20000000905</v>
      </c>
      <c r="K909">
        <v>906</v>
      </c>
    </row>
    <row r="910" spans="1:11" x14ac:dyDescent="0.25">
      <c r="A910" s="8" t="s">
        <v>72</v>
      </c>
      <c r="B910" s="8" t="s">
        <v>810</v>
      </c>
      <c r="C910" s="8" t="s">
        <v>72</v>
      </c>
      <c r="D910" s="8" t="s">
        <v>2341</v>
      </c>
      <c r="E910">
        <f t="shared" si="28"/>
        <v>6000000907</v>
      </c>
      <c r="F910">
        <v>6</v>
      </c>
      <c r="J910">
        <f t="shared" si="29"/>
        <v>20000000906</v>
      </c>
      <c r="K910">
        <v>907</v>
      </c>
    </row>
    <row r="911" spans="1:11" x14ac:dyDescent="0.25">
      <c r="A911" s="8" t="s">
        <v>72</v>
      </c>
      <c r="B911" s="8" t="s">
        <v>811</v>
      </c>
      <c r="C911" s="8" t="s">
        <v>72</v>
      </c>
      <c r="D911" s="8" t="s">
        <v>2342</v>
      </c>
      <c r="E911">
        <f t="shared" si="28"/>
        <v>6000000908</v>
      </c>
      <c r="F911">
        <v>6</v>
      </c>
      <c r="J911">
        <f t="shared" si="29"/>
        <v>20000000907</v>
      </c>
      <c r="K911">
        <v>908</v>
      </c>
    </row>
    <row r="912" spans="1:11" x14ac:dyDescent="0.25">
      <c r="A912" s="8" t="s">
        <v>72</v>
      </c>
      <c r="B912" s="8" t="s">
        <v>971</v>
      </c>
      <c r="C912" s="8" t="s">
        <v>72</v>
      </c>
      <c r="D912" s="8" t="s">
        <v>2343</v>
      </c>
      <c r="E912">
        <f t="shared" si="28"/>
        <v>6000000909</v>
      </c>
      <c r="F912">
        <v>6</v>
      </c>
      <c r="J912">
        <f t="shared" si="29"/>
        <v>20000000908</v>
      </c>
      <c r="K912">
        <v>909</v>
      </c>
    </row>
    <row r="913" spans="1:11" x14ac:dyDescent="0.25">
      <c r="A913" s="8" t="s">
        <v>72</v>
      </c>
      <c r="B913" s="8" t="s">
        <v>419</v>
      </c>
      <c r="C913" s="8" t="s">
        <v>72</v>
      </c>
      <c r="D913" s="8" t="s">
        <v>2344</v>
      </c>
      <c r="E913">
        <f t="shared" si="28"/>
        <v>6000000910</v>
      </c>
      <c r="F913">
        <v>6</v>
      </c>
      <c r="J913">
        <f t="shared" si="29"/>
        <v>20000000909</v>
      </c>
      <c r="K913">
        <v>910</v>
      </c>
    </row>
    <row r="914" spans="1:11" x14ac:dyDescent="0.25">
      <c r="A914" s="8" t="s">
        <v>72</v>
      </c>
      <c r="B914" s="8" t="s">
        <v>693</v>
      </c>
      <c r="C914" s="8" t="s">
        <v>72</v>
      </c>
      <c r="D914" s="8" t="s">
        <v>2345</v>
      </c>
      <c r="E914">
        <f t="shared" si="28"/>
        <v>6000000911</v>
      </c>
      <c r="F914">
        <v>6</v>
      </c>
      <c r="J914">
        <f t="shared" si="29"/>
        <v>20000000910</v>
      </c>
      <c r="K914">
        <v>911</v>
      </c>
    </row>
    <row r="915" spans="1:11" x14ac:dyDescent="0.25">
      <c r="A915" s="8" t="s">
        <v>72</v>
      </c>
      <c r="B915" s="8" t="s">
        <v>694</v>
      </c>
      <c r="C915" s="8" t="s">
        <v>72</v>
      </c>
      <c r="D915" s="8" t="s">
        <v>2346</v>
      </c>
      <c r="E915">
        <f t="shared" si="28"/>
        <v>6000000912</v>
      </c>
      <c r="F915">
        <v>6</v>
      </c>
      <c r="J915">
        <f t="shared" si="29"/>
        <v>20000000911</v>
      </c>
      <c r="K915">
        <v>912</v>
      </c>
    </row>
    <row r="916" spans="1:11" x14ac:dyDescent="0.25">
      <c r="A916" s="8" t="s">
        <v>72</v>
      </c>
      <c r="B916" s="8" t="s">
        <v>972</v>
      </c>
      <c r="C916" s="8" t="s">
        <v>72</v>
      </c>
      <c r="D916" s="8" t="s">
        <v>2347</v>
      </c>
      <c r="E916">
        <f t="shared" si="28"/>
        <v>6000000913</v>
      </c>
      <c r="F916">
        <v>6</v>
      </c>
      <c r="J916">
        <f t="shared" si="29"/>
        <v>20000000912</v>
      </c>
      <c r="K916">
        <v>913</v>
      </c>
    </row>
    <row r="917" spans="1:11" x14ac:dyDescent="0.25">
      <c r="A917" s="8" t="s">
        <v>72</v>
      </c>
      <c r="B917" s="8" t="s">
        <v>420</v>
      </c>
      <c r="C917" s="8" t="s">
        <v>72</v>
      </c>
      <c r="D917" s="8" t="s">
        <v>2348</v>
      </c>
      <c r="E917">
        <f t="shared" si="28"/>
        <v>6000000914</v>
      </c>
      <c r="F917">
        <v>6</v>
      </c>
      <c r="J917">
        <f t="shared" si="29"/>
        <v>20000000913</v>
      </c>
      <c r="K917">
        <v>914</v>
      </c>
    </row>
    <row r="918" spans="1:11" x14ac:dyDescent="0.25">
      <c r="A918" s="8" t="s">
        <v>72</v>
      </c>
      <c r="B918" s="8" t="s">
        <v>421</v>
      </c>
      <c r="C918" s="8" t="s">
        <v>72</v>
      </c>
      <c r="D918" s="8" t="s">
        <v>2349</v>
      </c>
      <c r="E918">
        <f t="shared" si="28"/>
        <v>6000000915</v>
      </c>
      <c r="F918">
        <v>6</v>
      </c>
      <c r="J918">
        <f t="shared" si="29"/>
        <v>20000000914</v>
      </c>
      <c r="K918">
        <v>915</v>
      </c>
    </row>
    <row r="919" spans="1:11" x14ac:dyDescent="0.25">
      <c r="A919" s="8" t="s">
        <v>72</v>
      </c>
      <c r="B919" s="8" t="s">
        <v>973</v>
      </c>
      <c r="C919" s="8" t="s">
        <v>72</v>
      </c>
      <c r="D919" s="8" t="s">
        <v>2350</v>
      </c>
      <c r="E919">
        <f t="shared" si="28"/>
        <v>6000000916</v>
      </c>
      <c r="F919">
        <v>6</v>
      </c>
      <c r="J919">
        <f t="shared" si="29"/>
        <v>20000000915</v>
      </c>
      <c r="K919">
        <v>916</v>
      </c>
    </row>
    <row r="920" spans="1:11" x14ac:dyDescent="0.25">
      <c r="A920" s="8" t="s">
        <v>72</v>
      </c>
      <c r="B920" s="8" t="s">
        <v>78</v>
      </c>
      <c r="C920" s="8" t="s">
        <v>72</v>
      </c>
      <c r="D920" s="8" t="s">
        <v>2351</v>
      </c>
      <c r="E920">
        <f t="shared" si="28"/>
        <v>6000000917</v>
      </c>
      <c r="F920">
        <v>6</v>
      </c>
      <c r="J920">
        <f t="shared" si="29"/>
        <v>20000000916</v>
      </c>
      <c r="K920">
        <v>917</v>
      </c>
    </row>
    <row r="921" spans="1:11" x14ac:dyDescent="0.25">
      <c r="A921" s="8" t="s">
        <v>72</v>
      </c>
      <c r="B921" s="8" t="s">
        <v>812</v>
      </c>
      <c r="C921" s="8" t="s">
        <v>72</v>
      </c>
      <c r="D921" s="8" t="s">
        <v>2352</v>
      </c>
      <c r="E921">
        <f t="shared" si="28"/>
        <v>6000000918</v>
      </c>
      <c r="F921">
        <v>6</v>
      </c>
      <c r="J921">
        <f t="shared" si="29"/>
        <v>20000000917</v>
      </c>
      <c r="K921">
        <v>918</v>
      </c>
    </row>
    <row r="922" spans="1:11" x14ac:dyDescent="0.25">
      <c r="A922" s="8" t="s">
        <v>72</v>
      </c>
      <c r="B922" s="8" t="s">
        <v>79</v>
      </c>
      <c r="C922" s="8" t="s">
        <v>72</v>
      </c>
      <c r="D922" s="8" t="s">
        <v>2353</v>
      </c>
      <c r="E922">
        <f t="shared" si="28"/>
        <v>6000000919</v>
      </c>
      <c r="F922">
        <v>6</v>
      </c>
      <c r="J922">
        <f t="shared" si="29"/>
        <v>20000000918</v>
      </c>
      <c r="K922">
        <v>919</v>
      </c>
    </row>
    <row r="923" spans="1:11" x14ac:dyDescent="0.25">
      <c r="A923" s="8" t="s">
        <v>72</v>
      </c>
      <c r="B923" s="8" t="s">
        <v>422</v>
      </c>
      <c r="C923" s="8" t="s">
        <v>72</v>
      </c>
      <c r="D923" s="8" t="s">
        <v>2354</v>
      </c>
      <c r="E923">
        <f t="shared" si="28"/>
        <v>6000000920</v>
      </c>
      <c r="F923">
        <v>6</v>
      </c>
      <c r="J923">
        <f t="shared" si="29"/>
        <v>20000000919</v>
      </c>
      <c r="K923">
        <v>920</v>
      </c>
    </row>
    <row r="924" spans="1:11" x14ac:dyDescent="0.25">
      <c r="A924" s="8" t="s">
        <v>72</v>
      </c>
      <c r="B924" s="8" t="s">
        <v>423</v>
      </c>
      <c r="C924" s="8" t="s">
        <v>72</v>
      </c>
      <c r="D924" s="8" t="s">
        <v>2355</v>
      </c>
      <c r="E924">
        <f t="shared" si="28"/>
        <v>6000000921</v>
      </c>
      <c r="F924">
        <v>6</v>
      </c>
      <c r="J924">
        <f t="shared" si="29"/>
        <v>20000000920</v>
      </c>
      <c r="K924">
        <v>921</v>
      </c>
    </row>
    <row r="925" spans="1:11" x14ac:dyDescent="0.25">
      <c r="A925" s="8" t="s">
        <v>72</v>
      </c>
      <c r="B925" s="8" t="s">
        <v>80</v>
      </c>
      <c r="C925" s="8" t="s">
        <v>72</v>
      </c>
      <c r="D925" s="8" t="s">
        <v>2356</v>
      </c>
      <c r="E925">
        <f t="shared" si="28"/>
        <v>6000000922</v>
      </c>
      <c r="F925">
        <v>6</v>
      </c>
      <c r="J925">
        <f t="shared" si="29"/>
        <v>20000000921</v>
      </c>
      <c r="K925">
        <v>922</v>
      </c>
    </row>
    <row r="926" spans="1:11" x14ac:dyDescent="0.25">
      <c r="A926" s="8" t="s">
        <v>72</v>
      </c>
      <c r="B926" s="8" t="s">
        <v>424</v>
      </c>
      <c r="C926" s="8" t="s">
        <v>72</v>
      </c>
      <c r="D926" s="8" t="s">
        <v>2357</v>
      </c>
      <c r="E926">
        <f t="shared" si="28"/>
        <v>6000000923</v>
      </c>
      <c r="F926">
        <v>6</v>
      </c>
      <c r="J926">
        <f t="shared" si="29"/>
        <v>20000000922</v>
      </c>
      <c r="K926">
        <v>923</v>
      </c>
    </row>
    <row r="927" spans="1:11" x14ac:dyDescent="0.25">
      <c r="A927" s="8" t="s">
        <v>72</v>
      </c>
      <c r="B927" s="8" t="s">
        <v>695</v>
      </c>
      <c r="C927" s="8" t="s">
        <v>72</v>
      </c>
      <c r="D927" s="8" t="s">
        <v>2358</v>
      </c>
      <c r="E927">
        <f t="shared" si="28"/>
        <v>6000000924</v>
      </c>
      <c r="F927">
        <v>6</v>
      </c>
      <c r="J927">
        <f t="shared" si="29"/>
        <v>20000000923</v>
      </c>
      <c r="K927">
        <v>924</v>
      </c>
    </row>
    <row r="928" spans="1:11" x14ac:dyDescent="0.25">
      <c r="A928" s="8" t="s">
        <v>72</v>
      </c>
      <c r="B928" s="8" t="s">
        <v>425</v>
      </c>
      <c r="C928" s="8" t="s">
        <v>72</v>
      </c>
      <c r="D928" s="8" t="s">
        <v>2359</v>
      </c>
      <c r="E928">
        <f t="shared" si="28"/>
        <v>6000000925</v>
      </c>
      <c r="F928">
        <v>6</v>
      </c>
      <c r="J928">
        <f t="shared" si="29"/>
        <v>20000000924</v>
      </c>
      <c r="K928">
        <v>925</v>
      </c>
    </row>
    <row r="929" spans="1:11" x14ac:dyDescent="0.25">
      <c r="A929" s="8" t="s">
        <v>72</v>
      </c>
      <c r="B929" s="8" t="s">
        <v>426</v>
      </c>
      <c r="C929" s="8" t="s">
        <v>72</v>
      </c>
      <c r="D929" s="8" t="s">
        <v>2360</v>
      </c>
      <c r="E929">
        <f t="shared" si="28"/>
        <v>6000000926</v>
      </c>
      <c r="F929">
        <v>6</v>
      </c>
      <c r="J929">
        <f t="shared" si="29"/>
        <v>20000000925</v>
      </c>
      <c r="K929">
        <v>926</v>
      </c>
    </row>
    <row r="930" spans="1:11" x14ac:dyDescent="0.25">
      <c r="A930" s="8" t="s">
        <v>72</v>
      </c>
      <c r="B930" s="8" t="s">
        <v>696</v>
      </c>
      <c r="C930" s="8" t="s">
        <v>72</v>
      </c>
      <c r="D930" s="8" t="s">
        <v>2361</v>
      </c>
      <c r="E930">
        <f t="shared" si="28"/>
        <v>6000000927</v>
      </c>
      <c r="F930">
        <v>6</v>
      </c>
      <c r="J930">
        <f t="shared" si="29"/>
        <v>20000000926</v>
      </c>
      <c r="K930">
        <v>927</v>
      </c>
    </row>
    <row r="931" spans="1:11" x14ac:dyDescent="0.25">
      <c r="A931" s="8" t="s">
        <v>72</v>
      </c>
      <c r="B931" s="8" t="s">
        <v>81</v>
      </c>
      <c r="C931" s="8" t="s">
        <v>72</v>
      </c>
      <c r="D931" s="8" t="s">
        <v>2362</v>
      </c>
      <c r="E931">
        <f t="shared" si="28"/>
        <v>6000000928</v>
      </c>
      <c r="F931">
        <v>6</v>
      </c>
      <c r="J931">
        <f t="shared" si="29"/>
        <v>20000000927</v>
      </c>
      <c r="K931">
        <v>928</v>
      </c>
    </row>
    <row r="932" spans="1:11" x14ac:dyDescent="0.25">
      <c r="A932" s="8" t="s">
        <v>72</v>
      </c>
      <c r="B932" s="8" t="s">
        <v>427</v>
      </c>
      <c r="C932" s="8" t="s">
        <v>72</v>
      </c>
      <c r="D932" s="8" t="s">
        <v>2363</v>
      </c>
      <c r="E932">
        <f t="shared" si="28"/>
        <v>6000000929</v>
      </c>
      <c r="F932">
        <v>6</v>
      </c>
      <c r="J932">
        <f t="shared" si="29"/>
        <v>20000000928</v>
      </c>
      <c r="K932">
        <v>929</v>
      </c>
    </row>
    <row r="933" spans="1:11" x14ac:dyDescent="0.25">
      <c r="A933" s="8" t="s">
        <v>72</v>
      </c>
      <c r="B933" s="8" t="s">
        <v>428</v>
      </c>
      <c r="C933" s="8" t="s">
        <v>72</v>
      </c>
      <c r="D933" s="8" t="s">
        <v>2364</v>
      </c>
      <c r="E933">
        <f t="shared" si="28"/>
        <v>6000000930</v>
      </c>
      <c r="F933">
        <v>6</v>
      </c>
      <c r="J933">
        <f t="shared" si="29"/>
        <v>20000000929</v>
      </c>
      <c r="K933">
        <v>930</v>
      </c>
    </row>
    <row r="934" spans="1:11" x14ac:dyDescent="0.25">
      <c r="A934" s="8" t="s">
        <v>72</v>
      </c>
      <c r="B934" s="8" t="s">
        <v>429</v>
      </c>
      <c r="C934" s="8" t="s">
        <v>72</v>
      </c>
      <c r="D934" s="8" t="s">
        <v>2365</v>
      </c>
      <c r="E934">
        <f t="shared" si="28"/>
        <v>6000000931</v>
      </c>
      <c r="F934">
        <v>6</v>
      </c>
      <c r="J934">
        <f t="shared" si="29"/>
        <v>20000000930</v>
      </c>
      <c r="K934">
        <v>931</v>
      </c>
    </row>
    <row r="935" spans="1:11" x14ac:dyDescent="0.25">
      <c r="A935" s="8" t="s">
        <v>72</v>
      </c>
      <c r="B935" s="8" t="s">
        <v>430</v>
      </c>
      <c r="C935" s="8" t="s">
        <v>72</v>
      </c>
      <c r="D935" s="8" t="s">
        <v>2366</v>
      </c>
      <c r="E935">
        <f t="shared" si="28"/>
        <v>6000000932</v>
      </c>
      <c r="F935">
        <v>6</v>
      </c>
      <c r="J935">
        <f t="shared" si="29"/>
        <v>20000000931</v>
      </c>
      <c r="K935">
        <v>932</v>
      </c>
    </row>
    <row r="936" spans="1:11" x14ac:dyDescent="0.25">
      <c r="A936" s="8" t="s">
        <v>72</v>
      </c>
      <c r="B936" s="8" t="s">
        <v>1462</v>
      </c>
      <c r="C936" s="8" t="s">
        <v>72</v>
      </c>
      <c r="D936" s="8" t="s">
        <v>2367</v>
      </c>
      <c r="E936">
        <f t="shared" si="28"/>
        <v>6000000933</v>
      </c>
      <c r="F936">
        <v>6</v>
      </c>
      <c r="J936">
        <f t="shared" si="29"/>
        <v>20000000932</v>
      </c>
      <c r="K936">
        <v>933</v>
      </c>
    </row>
    <row r="937" spans="1:11" x14ac:dyDescent="0.25">
      <c r="A937" s="8" t="s">
        <v>72</v>
      </c>
      <c r="B937" s="8" t="s">
        <v>431</v>
      </c>
      <c r="C937" s="8" t="s">
        <v>72</v>
      </c>
      <c r="D937" s="8" t="s">
        <v>2368</v>
      </c>
      <c r="E937">
        <f t="shared" si="28"/>
        <v>6000000934</v>
      </c>
      <c r="F937">
        <v>6</v>
      </c>
      <c r="J937">
        <f t="shared" si="29"/>
        <v>20000000933</v>
      </c>
      <c r="K937">
        <v>934</v>
      </c>
    </row>
    <row r="938" spans="1:11" x14ac:dyDescent="0.25">
      <c r="A938" s="8" t="s">
        <v>72</v>
      </c>
      <c r="B938" s="8" t="s">
        <v>813</v>
      </c>
      <c r="C938" s="8" t="s">
        <v>72</v>
      </c>
      <c r="D938" s="8" t="s">
        <v>2369</v>
      </c>
      <c r="E938">
        <f t="shared" si="28"/>
        <v>6000000935</v>
      </c>
      <c r="F938">
        <v>6</v>
      </c>
      <c r="J938">
        <f t="shared" si="29"/>
        <v>20000000934</v>
      </c>
      <c r="K938">
        <v>935</v>
      </c>
    </row>
    <row r="939" spans="1:11" x14ac:dyDescent="0.25">
      <c r="A939" s="8" t="s">
        <v>72</v>
      </c>
      <c r="B939" s="8" t="s">
        <v>1264</v>
      </c>
      <c r="C939" s="8" t="s">
        <v>72</v>
      </c>
      <c r="D939" s="8" t="s">
        <v>2370</v>
      </c>
      <c r="E939">
        <f t="shared" si="28"/>
        <v>6000000936</v>
      </c>
      <c r="F939">
        <v>6</v>
      </c>
      <c r="J939">
        <f t="shared" si="29"/>
        <v>20000000935</v>
      </c>
      <c r="K939">
        <v>936</v>
      </c>
    </row>
    <row r="940" spans="1:11" x14ac:dyDescent="0.25">
      <c r="A940" s="8" t="s">
        <v>882</v>
      </c>
      <c r="B940" s="8" t="s">
        <v>750</v>
      </c>
      <c r="C940" s="8" t="s">
        <v>882</v>
      </c>
      <c r="D940" s="8" t="s">
        <v>2371</v>
      </c>
      <c r="E940">
        <f t="shared" si="28"/>
        <v>2000000937</v>
      </c>
      <c r="F940">
        <v>2</v>
      </c>
      <c r="J940">
        <f t="shared" si="29"/>
        <v>20000000936</v>
      </c>
      <c r="K940">
        <v>937</v>
      </c>
    </row>
    <row r="941" spans="1:11" x14ac:dyDescent="0.25">
      <c r="A941" s="8" t="s">
        <v>882</v>
      </c>
      <c r="B941" s="8" t="s">
        <v>751</v>
      </c>
      <c r="C941" s="8" t="s">
        <v>882</v>
      </c>
      <c r="D941" s="8" t="s">
        <v>2372</v>
      </c>
      <c r="E941">
        <f t="shared" si="28"/>
        <v>2000000938</v>
      </c>
      <c r="F941">
        <v>2</v>
      </c>
      <c r="J941">
        <f t="shared" si="29"/>
        <v>20000000937</v>
      </c>
      <c r="K941">
        <v>938</v>
      </c>
    </row>
    <row r="942" spans="1:11" x14ac:dyDescent="0.25">
      <c r="A942" s="8" t="s">
        <v>882</v>
      </c>
      <c r="B942" s="8" t="s">
        <v>752</v>
      </c>
      <c r="C942" s="8" t="s">
        <v>882</v>
      </c>
      <c r="D942" s="8" t="s">
        <v>2373</v>
      </c>
      <c r="E942">
        <f t="shared" si="28"/>
        <v>2000000939</v>
      </c>
      <c r="F942">
        <v>2</v>
      </c>
      <c r="J942">
        <f t="shared" si="29"/>
        <v>20000000938</v>
      </c>
      <c r="K942">
        <v>939</v>
      </c>
    </row>
    <row r="943" spans="1:11" x14ac:dyDescent="0.25">
      <c r="A943" s="8" t="s">
        <v>882</v>
      </c>
      <c r="B943" s="8" t="s">
        <v>753</v>
      </c>
      <c r="C943" s="8" t="s">
        <v>882</v>
      </c>
      <c r="D943" s="8" t="s">
        <v>2374</v>
      </c>
      <c r="E943">
        <f t="shared" si="28"/>
        <v>2000000940</v>
      </c>
      <c r="F943">
        <v>2</v>
      </c>
      <c r="J943">
        <f t="shared" si="29"/>
        <v>20000000939</v>
      </c>
      <c r="K943">
        <v>940</v>
      </c>
    </row>
    <row r="944" spans="1:11" x14ac:dyDescent="0.25">
      <c r="A944" s="8" t="s">
        <v>882</v>
      </c>
      <c r="B944" s="8" t="s">
        <v>754</v>
      </c>
      <c r="C944" s="8" t="s">
        <v>882</v>
      </c>
      <c r="D944" s="8" t="s">
        <v>2375</v>
      </c>
      <c r="E944">
        <f t="shared" si="28"/>
        <v>2000000941</v>
      </c>
      <c r="F944">
        <v>2</v>
      </c>
      <c r="J944">
        <f t="shared" si="29"/>
        <v>20000000940</v>
      </c>
      <c r="K944">
        <v>941</v>
      </c>
    </row>
    <row r="945" spans="1:11" x14ac:dyDescent="0.25">
      <c r="A945" s="8" t="s">
        <v>882</v>
      </c>
      <c r="B945" s="8" t="s">
        <v>755</v>
      </c>
      <c r="C945" s="8" t="s">
        <v>882</v>
      </c>
      <c r="D945" s="8" t="s">
        <v>2376</v>
      </c>
      <c r="E945">
        <f t="shared" si="28"/>
        <v>2000000942</v>
      </c>
      <c r="F945">
        <v>2</v>
      </c>
      <c r="J945">
        <f t="shared" si="29"/>
        <v>20000000941</v>
      </c>
      <c r="K945">
        <v>942</v>
      </c>
    </row>
    <row r="946" spans="1:11" x14ac:dyDescent="0.25">
      <c r="A946" s="8" t="s">
        <v>882</v>
      </c>
      <c r="B946" s="8" t="s">
        <v>974</v>
      </c>
      <c r="C946" s="8" t="s">
        <v>882</v>
      </c>
      <c r="D946" s="8" t="s">
        <v>2377</v>
      </c>
      <c r="E946">
        <f t="shared" si="28"/>
        <v>2000000943</v>
      </c>
      <c r="F946">
        <v>2</v>
      </c>
      <c r="J946">
        <f t="shared" si="29"/>
        <v>20000000942</v>
      </c>
      <c r="K946">
        <v>943</v>
      </c>
    </row>
    <row r="947" spans="1:11" x14ac:dyDescent="0.25">
      <c r="A947" s="8" t="s">
        <v>882</v>
      </c>
      <c r="B947" s="8" t="s">
        <v>975</v>
      </c>
      <c r="C947" s="8" t="s">
        <v>882</v>
      </c>
      <c r="D947" s="8" t="s">
        <v>2378</v>
      </c>
      <c r="E947">
        <f t="shared" si="28"/>
        <v>2000000944</v>
      </c>
      <c r="F947">
        <v>2</v>
      </c>
      <c r="J947">
        <f t="shared" si="29"/>
        <v>20000000943</v>
      </c>
      <c r="K947">
        <v>944</v>
      </c>
    </row>
    <row r="948" spans="1:11" x14ac:dyDescent="0.25">
      <c r="A948" s="8" t="s">
        <v>882</v>
      </c>
      <c r="B948" s="8" t="s">
        <v>1463</v>
      </c>
      <c r="C948" s="8" t="s">
        <v>882</v>
      </c>
      <c r="D948" s="8" t="s">
        <v>2379</v>
      </c>
      <c r="E948">
        <f t="shared" si="28"/>
        <v>2000000945</v>
      </c>
      <c r="F948">
        <v>2</v>
      </c>
      <c r="J948">
        <f t="shared" si="29"/>
        <v>20000000944</v>
      </c>
      <c r="K948">
        <v>945</v>
      </c>
    </row>
    <row r="949" spans="1:11" x14ac:dyDescent="0.25">
      <c r="A949" s="8" t="s">
        <v>882</v>
      </c>
      <c r="B949" s="8" t="s">
        <v>976</v>
      </c>
      <c r="C949" s="8" t="s">
        <v>882</v>
      </c>
      <c r="D949" s="8" t="s">
        <v>2380</v>
      </c>
      <c r="E949">
        <f t="shared" si="28"/>
        <v>2000000946</v>
      </c>
      <c r="F949">
        <v>2</v>
      </c>
      <c r="J949">
        <f t="shared" si="29"/>
        <v>20000000945</v>
      </c>
      <c r="K949">
        <v>946</v>
      </c>
    </row>
    <row r="950" spans="1:11" x14ac:dyDescent="0.25">
      <c r="A950" s="8" t="s">
        <v>882</v>
      </c>
      <c r="B950" s="8" t="s">
        <v>977</v>
      </c>
      <c r="C950" s="8" t="s">
        <v>882</v>
      </c>
      <c r="D950" s="8" t="s">
        <v>2381</v>
      </c>
      <c r="E950">
        <f t="shared" si="28"/>
        <v>2000000947</v>
      </c>
      <c r="F950">
        <v>2</v>
      </c>
      <c r="J950">
        <f t="shared" si="29"/>
        <v>20000000946</v>
      </c>
      <c r="K950">
        <v>947</v>
      </c>
    </row>
    <row r="951" spans="1:11" x14ac:dyDescent="0.25">
      <c r="A951" s="8" t="s">
        <v>882</v>
      </c>
      <c r="B951" s="8" t="s">
        <v>1265</v>
      </c>
      <c r="C951" s="8" t="s">
        <v>882</v>
      </c>
      <c r="D951" s="8" t="s">
        <v>2382</v>
      </c>
      <c r="E951">
        <f t="shared" si="28"/>
        <v>2000000948</v>
      </c>
      <c r="F951">
        <v>2</v>
      </c>
      <c r="J951">
        <f t="shared" si="29"/>
        <v>20000000947</v>
      </c>
      <c r="K951">
        <v>948</v>
      </c>
    </row>
    <row r="952" spans="1:11" x14ac:dyDescent="0.25">
      <c r="A952" s="8" t="s">
        <v>882</v>
      </c>
      <c r="B952" s="8" t="s">
        <v>978</v>
      </c>
      <c r="C952" s="8" t="s">
        <v>882</v>
      </c>
      <c r="D952" s="8" t="s">
        <v>2383</v>
      </c>
      <c r="E952">
        <f t="shared" si="28"/>
        <v>2000000949</v>
      </c>
      <c r="F952">
        <v>2</v>
      </c>
      <c r="J952">
        <f t="shared" si="29"/>
        <v>20000000948</v>
      </c>
      <c r="K952">
        <v>949</v>
      </c>
    </row>
    <row r="953" spans="1:11" x14ac:dyDescent="0.25">
      <c r="A953" s="8" t="s">
        <v>882</v>
      </c>
      <c r="B953" s="8" t="s">
        <v>1266</v>
      </c>
      <c r="C953" s="8" t="s">
        <v>882</v>
      </c>
      <c r="D953" s="8" t="s">
        <v>2384</v>
      </c>
      <c r="E953">
        <f t="shared" si="28"/>
        <v>2000000950</v>
      </c>
      <c r="F953">
        <v>2</v>
      </c>
      <c r="J953">
        <f t="shared" si="29"/>
        <v>20000000949</v>
      </c>
      <c r="K953">
        <v>950</v>
      </c>
    </row>
    <row r="954" spans="1:11" x14ac:dyDescent="0.25">
      <c r="A954" s="8" t="s">
        <v>882</v>
      </c>
      <c r="B954" s="8" t="s">
        <v>1267</v>
      </c>
      <c r="C954" s="8" t="s">
        <v>882</v>
      </c>
      <c r="D954" s="8" t="s">
        <v>2385</v>
      </c>
      <c r="E954">
        <f t="shared" si="28"/>
        <v>2000000951</v>
      </c>
      <c r="F954">
        <v>2</v>
      </c>
      <c r="J954">
        <f t="shared" si="29"/>
        <v>20000000950</v>
      </c>
      <c r="K954">
        <v>951</v>
      </c>
    </row>
    <row r="955" spans="1:11" x14ac:dyDescent="0.25">
      <c r="A955" s="8" t="s">
        <v>882</v>
      </c>
      <c r="B955" s="8" t="s">
        <v>901</v>
      </c>
      <c r="C955" s="8" t="s">
        <v>882</v>
      </c>
      <c r="D955" s="8" t="s">
        <v>2386</v>
      </c>
      <c r="E955">
        <f t="shared" si="28"/>
        <v>2000000952</v>
      </c>
      <c r="F955">
        <v>2</v>
      </c>
      <c r="J955">
        <f t="shared" si="29"/>
        <v>20000000951</v>
      </c>
      <c r="K955">
        <v>952</v>
      </c>
    </row>
    <row r="956" spans="1:11" x14ac:dyDescent="0.25">
      <c r="A956" s="8" t="s">
        <v>882</v>
      </c>
      <c r="B956" s="8" t="s">
        <v>1268</v>
      </c>
      <c r="C956" s="8" t="s">
        <v>882</v>
      </c>
      <c r="D956" s="8" t="s">
        <v>2387</v>
      </c>
      <c r="E956">
        <f t="shared" si="28"/>
        <v>2000000953</v>
      </c>
      <c r="F956">
        <v>2</v>
      </c>
      <c r="J956">
        <f t="shared" si="29"/>
        <v>20000000952</v>
      </c>
      <c r="K956">
        <v>953</v>
      </c>
    </row>
    <row r="957" spans="1:11" x14ac:dyDescent="0.25">
      <c r="A957" s="8" t="s">
        <v>882</v>
      </c>
      <c r="B957" s="8" t="s">
        <v>1269</v>
      </c>
      <c r="C957" s="8" t="s">
        <v>882</v>
      </c>
      <c r="D957" s="8" t="s">
        <v>2388</v>
      </c>
      <c r="E957">
        <f t="shared" si="28"/>
        <v>2000000954</v>
      </c>
      <c r="F957">
        <v>2</v>
      </c>
      <c r="J957">
        <f t="shared" si="29"/>
        <v>20000000953</v>
      </c>
      <c r="K957">
        <v>954</v>
      </c>
    </row>
    <row r="958" spans="1:11" x14ac:dyDescent="0.25">
      <c r="A958" s="8" t="s">
        <v>882</v>
      </c>
      <c r="B958" s="8" t="s">
        <v>1270</v>
      </c>
      <c r="C958" s="8" t="s">
        <v>882</v>
      </c>
      <c r="D958" s="8" t="s">
        <v>2389</v>
      </c>
      <c r="E958">
        <f t="shared" si="28"/>
        <v>2000000955</v>
      </c>
      <c r="F958">
        <v>2</v>
      </c>
      <c r="J958">
        <f t="shared" si="29"/>
        <v>20000000954</v>
      </c>
      <c r="K958">
        <v>955</v>
      </c>
    </row>
    <row r="959" spans="1:11" x14ac:dyDescent="0.25">
      <c r="A959" s="8" t="s">
        <v>882</v>
      </c>
      <c r="B959" s="8" t="s">
        <v>756</v>
      </c>
      <c r="C959" s="8" t="s">
        <v>882</v>
      </c>
      <c r="D959" s="8" t="s">
        <v>2390</v>
      </c>
      <c r="E959">
        <f t="shared" si="28"/>
        <v>2000000956</v>
      </c>
      <c r="F959">
        <v>2</v>
      </c>
      <c r="J959">
        <f t="shared" si="29"/>
        <v>20000000955</v>
      </c>
      <c r="K959">
        <v>956</v>
      </c>
    </row>
    <row r="960" spans="1:11" x14ac:dyDescent="0.25">
      <c r="A960" s="8" t="s">
        <v>882</v>
      </c>
      <c r="B960" s="8" t="s">
        <v>757</v>
      </c>
      <c r="C960" s="8" t="s">
        <v>882</v>
      </c>
      <c r="D960" s="8" t="s">
        <v>2391</v>
      </c>
      <c r="E960">
        <f t="shared" si="28"/>
        <v>2000000957</v>
      </c>
      <c r="F960">
        <v>2</v>
      </c>
      <c r="J960">
        <f t="shared" si="29"/>
        <v>20000000956</v>
      </c>
      <c r="K960">
        <v>957</v>
      </c>
    </row>
    <row r="961" spans="1:11" x14ac:dyDescent="0.25">
      <c r="A961" s="8" t="s">
        <v>902</v>
      </c>
      <c r="B961" s="8" t="s">
        <v>1271</v>
      </c>
      <c r="C961" s="8" t="s">
        <v>902</v>
      </c>
      <c r="D961" s="8" t="s">
        <v>2392</v>
      </c>
      <c r="E961">
        <f t="shared" si="28"/>
        <v>2000000958</v>
      </c>
      <c r="F961">
        <v>2</v>
      </c>
      <c r="J961">
        <f t="shared" si="29"/>
        <v>20000000957</v>
      </c>
      <c r="K961">
        <v>958</v>
      </c>
    </row>
    <row r="962" spans="1:11" x14ac:dyDescent="0.25">
      <c r="A962" s="8" t="s">
        <v>902</v>
      </c>
      <c r="B962" s="8" t="s">
        <v>1272</v>
      </c>
      <c r="C962" s="8" t="s">
        <v>902</v>
      </c>
      <c r="D962" s="8" t="s">
        <v>2393</v>
      </c>
      <c r="E962">
        <f t="shared" si="28"/>
        <v>2000000959</v>
      </c>
      <c r="F962">
        <v>2</v>
      </c>
      <c r="J962">
        <f t="shared" si="29"/>
        <v>20000000958</v>
      </c>
      <c r="K962">
        <v>959</v>
      </c>
    </row>
    <row r="963" spans="1:11" x14ac:dyDescent="0.25">
      <c r="A963" s="8" t="s">
        <v>902</v>
      </c>
      <c r="B963" s="8" t="s">
        <v>979</v>
      </c>
      <c r="C963" s="8" t="s">
        <v>902</v>
      </c>
      <c r="D963" s="8" t="s">
        <v>2394</v>
      </c>
      <c r="E963">
        <f t="shared" si="28"/>
        <v>2000000960</v>
      </c>
      <c r="F963">
        <v>2</v>
      </c>
      <c r="J963">
        <f t="shared" si="29"/>
        <v>20000000959</v>
      </c>
      <c r="K963">
        <v>960</v>
      </c>
    </row>
    <row r="964" spans="1:11" x14ac:dyDescent="0.25">
      <c r="A964" s="8" t="s">
        <v>902</v>
      </c>
      <c r="B964" s="8" t="s">
        <v>1273</v>
      </c>
      <c r="C964" s="8" t="s">
        <v>902</v>
      </c>
      <c r="D964" s="8" t="s">
        <v>2395</v>
      </c>
      <c r="E964">
        <f t="shared" si="28"/>
        <v>2000000961</v>
      </c>
      <c r="F964">
        <v>2</v>
      </c>
      <c r="J964">
        <f t="shared" si="29"/>
        <v>20000000960</v>
      </c>
      <c r="K964">
        <v>961</v>
      </c>
    </row>
    <row r="965" spans="1:11" x14ac:dyDescent="0.25">
      <c r="A965" s="8" t="s">
        <v>902</v>
      </c>
      <c r="B965" s="8" t="s">
        <v>980</v>
      </c>
      <c r="C965" s="8" t="s">
        <v>902</v>
      </c>
      <c r="D965" s="8" t="s">
        <v>2396</v>
      </c>
      <c r="E965">
        <f t="shared" ref="E965:E1028" si="30">IF(F965="",J965,IF(G965="",F965*$F$2+K965,IF(H965="",F965*$F$2+G965*$G$2+K965,IF(I965="",F965*$F$2+G965*$G$2+H965*$H$2+K965,F965*$F$2+G965*$G$2+H965*$H$2+I965*$I$2+K965))))</f>
        <v>2000000962</v>
      </c>
      <c r="F965">
        <v>2</v>
      </c>
      <c r="J965">
        <f t="shared" si="29"/>
        <v>20000000961</v>
      </c>
      <c r="K965">
        <v>962</v>
      </c>
    </row>
    <row r="966" spans="1:11" x14ac:dyDescent="0.25">
      <c r="A966" s="8" t="s">
        <v>902</v>
      </c>
      <c r="B966" s="8" t="s">
        <v>1274</v>
      </c>
      <c r="C966" s="8" t="s">
        <v>902</v>
      </c>
      <c r="D966" s="8" t="s">
        <v>2397</v>
      </c>
      <c r="E966">
        <f t="shared" si="30"/>
        <v>2000000963</v>
      </c>
      <c r="F966">
        <v>2</v>
      </c>
      <c r="J966">
        <f t="shared" si="29"/>
        <v>20000000962</v>
      </c>
      <c r="K966">
        <v>963</v>
      </c>
    </row>
    <row r="967" spans="1:11" x14ac:dyDescent="0.25">
      <c r="A967" s="8" t="s">
        <v>883</v>
      </c>
      <c r="B967" s="8" t="s">
        <v>697</v>
      </c>
      <c r="C967" s="8" t="s">
        <v>883</v>
      </c>
      <c r="D967" s="8" t="s">
        <v>2398</v>
      </c>
      <c r="E967">
        <f t="shared" si="30"/>
        <v>6000000964</v>
      </c>
      <c r="F967">
        <v>6</v>
      </c>
      <c r="J967">
        <f t="shared" si="29"/>
        <v>20000000963</v>
      </c>
      <c r="K967">
        <v>964</v>
      </c>
    </row>
    <row r="968" spans="1:11" x14ac:dyDescent="0.25">
      <c r="A968" s="8" t="s">
        <v>883</v>
      </c>
      <c r="B968" s="8" t="s">
        <v>816</v>
      </c>
      <c r="C968" s="8" t="s">
        <v>883</v>
      </c>
      <c r="D968" s="8" t="s">
        <v>2399</v>
      </c>
      <c r="E968">
        <f t="shared" si="30"/>
        <v>6000000965</v>
      </c>
      <c r="F968">
        <v>6</v>
      </c>
      <c r="J968">
        <f t="shared" si="29"/>
        <v>20000000964</v>
      </c>
      <c r="K968">
        <v>965</v>
      </c>
    </row>
    <row r="969" spans="1:11" x14ac:dyDescent="0.25">
      <c r="A969" s="8" t="s">
        <v>883</v>
      </c>
      <c r="B969" s="8" t="s">
        <v>432</v>
      </c>
      <c r="C969" s="8" t="s">
        <v>883</v>
      </c>
      <c r="D969" s="8" t="s">
        <v>2400</v>
      </c>
      <c r="E969">
        <f t="shared" si="30"/>
        <v>6000000966</v>
      </c>
      <c r="F969">
        <v>6</v>
      </c>
      <c r="J969">
        <f t="shared" ref="J969:J1032" si="31">J968+1</f>
        <v>20000000965</v>
      </c>
      <c r="K969">
        <v>966</v>
      </c>
    </row>
    <row r="970" spans="1:11" x14ac:dyDescent="0.25">
      <c r="A970" s="8" t="s">
        <v>1025</v>
      </c>
      <c r="B970" s="8" t="s">
        <v>1275</v>
      </c>
      <c r="C970" s="8" t="s">
        <v>1025</v>
      </c>
      <c r="D970" s="8" t="s">
        <v>2401</v>
      </c>
      <c r="E970">
        <f t="shared" si="30"/>
        <v>2000000967</v>
      </c>
      <c r="F970">
        <v>2</v>
      </c>
      <c r="J970">
        <f t="shared" si="31"/>
        <v>20000000966</v>
      </c>
      <c r="K970">
        <v>967</v>
      </c>
    </row>
    <row r="971" spans="1:11" x14ac:dyDescent="0.25">
      <c r="A971" s="8" t="s">
        <v>1008</v>
      </c>
      <c r="B971" s="8">
        <v>31860</v>
      </c>
      <c r="C971" s="8" t="s">
        <v>1008</v>
      </c>
      <c r="D971" s="8" t="s">
        <v>2402</v>
      </c>
      <c r="E971">
        <f t="shared" si="30"/>
        <v>4000000968</v>
      </c>
      <c r="F971">
        <v>4</v>
      </c>
      <c r="J971">
        <f t="shared" si="31"/>
        <v>20000000967</v>
      </c>
      <c r="K971">
        <v>968</v>
      </c>
    </row>
    <row r="972" spans="1:11" x14ac:dyDescent="0.25">
      <c r="A972" s="8" t="s">
        <v>1008</v>
      </c>
      <c r="B972" s="8" t="s">
        <v>434</v>
      </c>
      <c r="C972" s="8" t="s">
        <v>1008</v>
      </c>
      <c r="D972" s="8" t="s">
        <v>2403</v>
      </c>
      <c r="E972">
        <f t="shared" si="30"/>
        <v>4000000969</v>
      </c>
      <c r="F972">
        <v>4</v>
      </c>
      <c r="J972">
        <f t="shared" si="31"/>
        <v>20000000968</v>
      </c>
      <c r="K972">
        <v>969</v>
      </c>
    </row>
    <row r="973" spans="1:11" x14ac:dyDescent="0.25">
      <c r="A973" s="8" t="s">
        <v>1008</v>
      </c>
      <c r="B973" s="8" t="s">
        <v>875</v>
      </c>
      <c r="C973" s="8" t="s">
        <v>1008</v>
      </c>
      <c r="D973" s="8" t="s">
        <v>2404</v>
      </c>
      <c r="E973">
        <f t="shared" si="30"/>
        <v>4000000970</v>
      </c>
      <c r="F973">
        <v>4</v>
      </c>
      <c r="J973">
        <f t="shared" si="31"/>
        <v>20000000969</v>
      </c>
      <c r="K973">
        <v>970</v>
      </c>
    </row>
    <row r="974" spans="1:11" x14ac:dyDescent="0.25">
      <c r="A974" s="8" t="s">
        <v>1008</v>
      </c>
      <c r="B974" s="8" t="s">
        <v>1276</v>
      </c>
      <c r="C974" s="8" t="s">
        <v>1008</v>
      </c>
      <c r="D974" s="8" t="s">
        <v>2405</v>
      </c>
      <c r="E974">
        <f t="shared" si="30"/>
        <v>4000000971</v>
      </c>
      <c r="F974">
        <v>4</v>
      </c>
      <c r="J974">
        <f t="shared" si="31"/>
        <v>20000000970</v>
      </c>
      <c r="K974">
        <v>971</v>
      </c>
    </row>
    <row r="975" spans="1:11" x14ac:dyDescent="0.25">
      <c r="A975" s="8" t="s">
        <v>1008</v>
      </c>
      <c r="B975" s="8" t="s">
        <v>876</v>
      </c>
      <c r="C975" s="8" t="s">
        <v>1008</v>
      </c>
      <c r="D975" s="8" t="s">
        <v>2406</v>
      </c>
      <c r="E975">
        <f t="shared" si="30"/>
        <v>4000000972</v>
      </c>
      <c r="F975">
        <v>4</v>
      </c>
      <c r="J975">
        <f t="shared" si="31"/>
        <v>20000000971</v>
      </c>
      <c r="K975">
        <v>972</v>
      </c>
    </row>
    <row r="976" spans="1:11" x14ac:dyDescent="0.25">
      <c r="A976" s="8" t="s">
        <v>1008</v>
      </c>
      <c r="B976" s="8" t="s">
        <v>981</v>
      </c>
      <c r="C976" s="8" t="s">
        <v>1008</v>
      </c>
      <c r="D976" s="8" t="s">
        <v>2407</v>
      </c>
      <c r="E976">
        <f t="shared" si="30"/>
        <v>4000000973</v>
      </c>
      <c r="F976">
        <v>4</v>
      </c>
      <c r="J976">
        <f t="shared" si="31"/>
        <v>20000000972</v>
      </c>
      <c r="K976">
        <v>973</v>
      </c>
    </row>
    <row r="977" spans="1:11" x14ac:dyDescent="0.25">
      <c r="A977" s="8" t="s">
        <v>1008</v>
      </c>
      <c r="B977" s="8" t="s">
        <v>903</v>
      </c>
      <c r="C977" s="8" t="s">
        <v>1008</v>
      </c>
      <c r="D977" s="8" t="s">
        <v>2408</v>
      </c>
      <c r="E977">
        <f t="shared" si="30"/>
        <v>4000000974</v>
      </c>
      <c r="F977">
        <v>4</v>
      </c>
      <c r="J977">
        <f t="shared" si="31"/>
        <v>20000000973</v>
      </c>
      <c r="K977">
        <v>974</v>
      </c>
    </row>
    <row r="978" spans="1:11" x14ac:dyDescent="0.25">
      <c r="A978" s="8" t="s">
        <v>1008</v>
      </c>
      <c r="B978" s="8" t="s">
        <v>435</v>
      </c>
      <c r="C978" s="8" t="s">
        <v>1008</v>
      </c>
      <c r="D978" s="8" t="s">
        <v>2409</v>
      </c>
      <c r="E978">
        <f t="shared" si="30"/>
        <v>4000000975</v>
      </c>
      <c r="F978">
        <v>4</v>
      </c>
      <c r="J978">
        <f t="shared" si="31"/>
        <v>20000000974</v>
      </c>
      <c r="K978">
        <v>975</v>
      </c>
    </row>
    <row r="979" spans="1:11" x14ac:dyDescent="0.25">
      <c r="A979" s="8" t="s">
        <v>1008</v>
      </c>
      <c r="B979" s="8" t="s">
        <v>436</v>
      </c>
      <c r="C979" s="8" t="s">
        <v>1008</v>
      </c>
      <c r="D979" s="8" t="s">
        <v>2410</v>
      </c>
      <c r="E979">
        <f t="shared" si="30"/>
        <v>4000000976</v>
      </c>
      <c r="F979">
        <v>4</v>
      </c>
      <c r="J979">
        <f t="shared" si="31"/>
        <v>20000000975</v>
      </c>
      <c r="K979">
        <v>976</v>
      </c>
    </row>
    <row r="980" spans="1:11" x14ac:dyDescent="0.25">
      <c r="A980" s="8" t="s">
        <v>1008</v>
      </c>
      <c r="B980" s="8" t="s">
        <v>698</v>
      </c>
      <c r="C980" s="8" t="s">
        <v>1008</v>
      </c>
      <c r="D980" s="8" t="s">
        <v>2411</v>
      </c>
      <c r="E980">
        <f t="shared" si="30"/>
        <v>4000000977</v>
      </c>
      <c r="F980">
        <v>4</v>
      </c>
      <c r="J980">
        <f t="shared" si="31"/>
        <v>20000000976</v>
      </c>
      <c r="K980">
        <v>977</v>
      </c>
    </row>
    <row r="981" spans="1:11" x14ac:dyDescent="0.25">
      <c r="A981" s="8" t="s">
        <v>1008</v>
      </c>
      <c r="B981" s="8" t="s">
        <v>982</v>
      </c>
      <c r="C981" s="8" t="s">
        <v>1008</v>
      </c>
      <c r="D981" s="8" t="s">
        <v>2412</v>
      </c>
      <c r="E981">
        <f t="shared" si="30"/>
        <v>4000000978</v>
      </c>
      <c r="F981">
        <v>4</v>
      </c>
      <c r="J981">
        <f t="shared" si="31"/>
        <v>20000000977</v>
      </c>
      <c r="K981">
        <v>978</v>
      </c>
    </row>
    <row r="982" spans="1:11" x14ac:dyDescent="0.25">
      <c r="A982" s="8" t="s">
        <v>1008</v>
      </c>
      <c r="B982" s="8" t="s">
        <v>437</v>
      </c>
      <c r="C982" s="8" t="s">
        <v>1008</v>
      </c>
      <c r="D982" s="8" t="s">
        <v>2413</v>
      </c>
      <c r="E982">
        <f t="shared" si="30"/>
        <v>4000000979</v>
      </c>
      <c r="F982">
        <v>4</v>
      </c>
      <c r="J982">
        <f t="shared" si="31"/>
        <v>20000000978</v>
      </c>
      <c r="K982">
        <v>979</v>
      </c>
    </row>
    <row r="983" spans="1:11" x14ac:dyDescent="0.25">
      <c r="A983" s="8" t="s">
        <v>1008</v>
      </c>
      <c r="B983" s="8" t="s">
        <v>1277</v>
      </c>
      <c r="C983" s="8" t="s">
        <v>1008</v>
      </c>
      <c r="D983" s="8" t="s">
        <v>2414</v>
      </c>
      <c r="E983">
        <f t="shared" si="30"/>
        <v>4000000980</v>
      </c>
      <c r="F983">
        <v>4</v>
      </c>
      <c r="J983">
        <f t="shared" si="31"/>
        <v>20000000979</v>
      </c>
      <c r="K983">
        <v>980</v>
      </c>
    </row>
    <row r="984" spans="1:11" x14ac:dyDescent="0.25">
      <c r="A984" s="8" t="s">
        <v>1008</v>
      </c>
      <c r="B984" s="8" t="s">
        <v>877</v>
      </c>
      <c r="C984" s="8" t="s">
        <v>1008</v>
      </c>
      <c r="D984" s="8" t="s">
        <v>2415</v>
      </c>
      <c r="E984">
        <f t="shared" si="30"/>
        <v>4000000981</v>
      </c>
      <c r="F984">
        <v>4</v>
      </c>
      <c r="J984">
        <f t="shared" si="31"/>
        <v>20000000980</v>
      </c>
      <c r="K984">
        <v>981</v>
      </c>
    </row>
    <row r="985" spans="1:11" x14ac:dyDescent="0.25">
      <c r="A985" s="8" t="s">
        <v>1008</v>
      </c>
      <c r="B985" s="8" t="s">
        <v>1278</v>
      </c>
      <c r="C985" s="8" t="s">
        <v>1008</v>
      </c>
      <c r="D985" s="8" t="s">
        <v>2416</v>
      </c>
      <c r="E985">
        <f t="shared" si="30"/>
        <v>4000000982</v>
      </c>
      <c r="F985">
        <v>4</v>
      </c>
      <c r="J985">
        <f t="shared" si="31"/>
        <v>20000000981</v>
      </c>
      <c r="K985">
        <v>982</v>
      </c>
    </row>
    <row r="986" spans="1:11" x14ac:dyDescent="0.25">
      <c r="A986" s="8" t="s">
        <v>1008</v>
      </c>
      <c r="B986" s="8" t="s">
        <v>1279</v>
      </c>
      <c r="C986" s="8" t="s">
        <v>1008</v>
      </c>
      <c r="D986" s="8" t="s">
        <v>2417</v>
      </c>
      <c r="E986">
        <f t="shared" si="30"/>
        <v>4000000983</v>
      </c>
      <c r="F986">
        <v>4</v>
      </c>
      <c r="J986">
        <f t="shared" si="31"/>
        <v>20000000982</v>
      </c>
      <c r="K986">
        <v>983</v>
      </c>
    </row>
    <row r="987" spans="1:11" x14ac:dyDescent="0.25">
      <c r="A987" s="8" t="s">
        <v>1008</v>
      </c>
      <c r="B987" s="8" t="s">
        <v>438</v>
      </c>
      <c r="C987" s="8" t="s">
        <v>1008</v>
      </c>
      <c r="D987" s="8" t="s">
        <v>2418</v>
      </c>
      <c r="E987">
        <f t="shared" si="30"/>
        <v>4000000984</v>
      </c>
      <c r="F987">
        <v>4</v>
      </c>
      <c r="J987">
        <f t="shared" si="31"/>
        <v>20000000983</v>
      </c>
      <c r="K987">
        <v>984</v>
      </c>
    </row>
    <row r="988" spans="1:11" x14ac:dyDescent="0.25">
      <c r="A988" s="8" t="s">
        <v>1008</v>
      </c>
      <c r="B988" s="8" t="s">
        <v>439</v>
      </c>
      <c r="C988" s="8" t="s">
        <v>1008</v>
      </c>
      <c r="D988" s="8" t="s">
        <v>2419</v>
      </c>
      <c r="E988">
        <f t="shared" si="30"/>
        <v>4000000985</v>
      </c>
      <c r="F988">
        <v>4</v>
      </c>
      <c r="J988">
        <f t="shared" si="31"/>
        <v>20000000984</v>
      </c>
      <c r="K988">
        <v>985</v>
      </c>
    </row>
    <row r="989" spans="1:11" x14ac:dyDescent="0.25">
      <c r="A989" s="8" t="s">
        <v>1008</v>
      </c>
      <c r="B989" s="8" t="s">
        <v>440</v>
      </c>
      <c r="C989" s="8" t="s">
        <v>1008</v>
      </c>
      <c r="D989" s="8" t="s">
        <v>2420</v>
      </c>
      <c r="E989">
        <f t="shared" si="30"/>
        <v>4000000986</v>
      </c>
      <c r="F989">
        <v>4</v>
      </c>
      <c r="J989">
        <f t="shared" si="31"/>
        <v>20000000985</v>
      </c>
      <c r="K989">
        <v>986</v>
      </c>
    </row>
    <row r="990" spans="1:11" x14ac:dyDescent="0.25">
      <c r="A990" s="8" t="s">
        <v>441</v>
      </c>
      <c r="B990" s="8" t="s">
        <v>442</v>
      </c>
      <c r="C990" s="8" t="s">
        <v>441</v>
      </c>
      <c r="D990" s="8" t="s">
        <v>2421</v>
      </c>
      <c r="E990">
        <f t="shared" si="30"/>
        <v>6000000987</v>
      </c>
      <c r="F990">
        <v>6</v>
      </c>
      <c r="J990">
        <f t="shared" si="31"/>
        <v>20000000986</v>
      </c>
      <c r="K990">
        <v>987</v>
      </c>
    </row>
    <row r="991" spans="1:11" x14ac:dyDescent="0.25">
      <c r="A991" s="8" t="s">
        <v>1026</v>
      </c>
      <c r="B991" s="8" t="s">
        <v>444</v>
      </c>
      <c r="C991" s="8" t="s">
        <v>1026</v>
      </c>
      <c r="D991" s="8" t="s">
        <v>2422</v>
      </c>
      <c r="E991">
        <f t="shared" si="30"/>
        <v>4000000988</v>
      </c>
      <c r="F991">
        <v>4</v>
      </c>
      <c r="J991">
        <f t="shared" si="31"/>
        <v>20000000987</v>
      </c>
      <c r="K991">
        <v>988</v>
      </c>
    </row>
    <row r="992" spans="1:11" x14ac:dyDescent="0.25">
      <c r="A992" s="8" t="s">
        <v>446</v>
      </c>
      <c r="B992" s="8" t="s">
        <v>1464</v>
      </c>
      <c r="C992" s="8" t="s">
        <v>446</v>
      </c>
      <c r="D992" s="8" t="s">
        <v>2423</v>
      </c>
      <c r="E992">
        <f t="shared" si="30"/>
        <v>2000000989</v>
      </c>
      <c r="F992">
        <v>2</v>
      </c>
      <c r="J992">
        <f t="shared" si="31"/>
        <v>20000000988</v>
      </c>
      <c r="K992">
        <v>989</v>
      </c>
    </row>
    <row r="993" spans="1:11" x14ac:dyDescent="0.25">
      <c r="A993" s="8" t="s">
        <v>1027</v>
      </c>
      <c r="B993" s="8" t="s">
        <v>675</v>
      </c>
      <c r="C993" s="8" t="s">
        <v>1027</v>
      </c>
      <c r="D993" s="8" t="s">
        <v>2424</v>
      </c>
      <c r="E993">
        <f t="shared" si="30"/>
        <v>6000000990</v>
      </c>
      <c r="F993">
        <v>6</v>
      </c>
      <c r="J993">
        <f t="shared" si="31"/>
        <v>20000000989</v>
      </c>
      <c r="K993">
        <v>990</v>
      </c>
    </row>
    <row r="994" spans="1:11" x14ac:dyDescent="0.25">
      <c r="A994" s="8" t="s">
        <v>1027</v>
      </c>
      <c r="B994" s="8" t="s">
        <v>676</v>
      </c>
      <c r="C994" s="8" t="s">
        <v>1027</v>
      </c>
      <c r="D994" s="8" t="s">
        <v>2425</v>
      </c>
      <c r="E994">
        <f t="shared" si="30"/>
        <v>6000000991</v>
      </c>
      <c r="F994">
        <v>6</v>
      </c>
      <c r="J994">
        <f t="shared" si="31"/>
        <v>20000000990</v>
      </c>
      <c r="K994">
        <v>991</v>
      </c>
    </row>
    <row r="995" spans="1:11" x14ac:dyDescent="0.25">
      <c r="A995" s="8" t="s">
        <v>1027</v>
      </c>
      <c r="B995" s="8" t="s">
        <v>677</v>
      </c>
      <c r="C995" s="8" t="s">
        <v>1027</v>
      </c>
      <c r="D995" s="8" t="s">
        <v>2426</v>
      </c>
      <c r="E995">
        <f t="shared" si="30"/>
        <v>6000000992</v>
      </c>
      <c r="F995">
        <v>6</v>
      </c>
      <c r="J995">
        <f t="shared" si="31"/>
        <v>20000000991</v>
      </c>
      <c r="K995">
        <v>992</v>
      </c>
    </row>
    <row r="996" spans="1:11" x14ac:dyDescent="0.25">
      <c r="A996" s="8" t="s">
        <v>1027</v>
      </c>
      <c r="B996" s="8" t="s">
        <v>962</v>
      </c>
      <c r="C996" s="8" t="s">
        <v>1027</v>
      </c>
      <c r="D996" s="8" t="s">
        <v>2427</v>
      </c>
      <c r="E996">
        <f t="shared" si="30"/>
        <v>6000000993</v>
      </c>
      <c r="F996">
        <v>6</v>
      </c>
      <c r="J996">
        <f t="shared" si="31"/>
        <v>20000000992</v>
      </c>
      <c r="K996">
        <v>993</v>
      </c>
    </row>
    <row r="997" spans="1:11" x14ac:dyDescent="0.25">
      <c r="A997" s="8" t="s">
        <v>1027</v>
      </c>
      <c r="B997" s="8" t="s">
        <v>304</v>
      </c>
      <c r="C997" s="8" t="s">
        <v>1027</v>
      </c>
      <c r="D997" s="8" t="s">
        <v>2428</v>
      </c>
      <c r="E997">
        <f t="shared" si="30"/>
        <v>6000000994</v>
      </c>
      <c r="F997">
        <v>6</v>
      </c>
      <c r="J997">
        <f t="shared" si="31"/>
        <v>20000000993</v>
      </c>
      <c r="K997">
        <v>994</v>
      </c>
    </row>
    <row r="998" spans="1:11" x14ac:dyDescent="0.25">
      <c r="A998" s="8" t="s">
        <v>1027</v>
      </c>
      <c r="B998" s="8" t="s">
        <v>1280</v>
      </c>
      <c r="C998" s="8" t="s">
        <v>1027</v>
      </c>
      <c r="D998" s="8" t="s">
        <v>2429</v>
      </c>
      <c r="E998">
        <f t="shared" si="30"/>
        <v>6000000995</v>
      </c>
      <c r="F998">
        <v>6</v>
      </c>
      <c r="J998">
        <f t="shared" si="31"/>
        <v>20000000994</v>
      </c>
      <c r="K998">
        <v>995</v>
      </c>
    </row>
    <row r="999" spans="1:11" x14ac:dyDescent="0.25">
      <c r="A999" s="8" t="s">
        <v>1027</v>
      </c>
      <c r="B999" s="8" t="s">
        <v>786</v>
      </c>
      <c r="C999" s="8" t="s">
        <v>1027</v>
      </c>
      <c r="D999" s="8" t="s">
        <v>2430</v>
      </c>
      <c r="E999">
        <f t="shared" si="30"/>
        <v>6000000996</v>
      </c>
      <c r="F999">
        <v>6</v>
      </c>
      <c r="J999">
        <f t="shared" si="31"/>
        <v>20000000995</v>
      </c>
      <c r="K999">
        <v>996</v>
      </c>
    </row>
    <row r="1000" spans="1:11" x14ac:dyDescent="0.25">
      <c r="A1000" s="8" t="s">
        <v>1027</v>
      </c>
      <c r="B1000" s="8" t="s">
        <v>874</v>
      </c>
      <c r="C1000" s="8" t="s">
        <v>1027</v>
      </c>
      <c r="D1000" s="8" t="s">
        <v>2431</v>
      </c>
      <c r="E1000">
        <f t="shared" si="30"/>
        <v>6000000997</v>
      </c>
      <c r="F1000">
        <v>6</v>
      </c>
      <c r="J1000">
        <f t="shared" si="31"/>
        <v>20000000996</v>
      </c>
      <c r="K1000">
        <v>997</v>
      </c>
    </row>
    <row r="1001" spans="1:11" x14ac:dyDescent="0.25">
      <c r="A1001" s="8" t="s">
        <v>1027</v>
      </c>
      <c r="B1001" s="8" t="s">
        <v>305</v>
      </c>
      <c r="C1001" s="8" t="s">
        <v>1027</v>
      </c>
      <c r="D1001" s="8" t="s">
        <v>2432</v>
      </c>
      <c r="E1001">
        <f t="shared" si="30"/>
        <v>6000000998</v>
      </c>
      <c r="F1001">
        <v>6</v>
      </c>
      <c r="J1001">
        <f t="shared" si="31"/>
        <v>20000000997</v>
      </c>
      <c r="K1001">
        <v>998</v>
      </c>
    </row>
    <row r="1002" spans="1:11" x14ac:dyDescent="0.25">
      <c r="A1002" s="8" t="s">
        <v>1027</v>
      </c>
      <c r="B1002" s="8" t="s">
        <v>306</v>
      </c>
      <c r="C1002" s="8" t="s">
        <v>1027</v>
      </c>
      <c r="D1002" s="8" t="s">
        <v>2433</v>
      </c>
      <c r="E1002">
        <f t="shared" si="30"/>
        <v>6000000999</v>
      </c>
      <c r="F1002">
        <v>6</v>
      </c>
      <c r="J1002">
        <f t="shared" si="31"/>
        <v>20000000998</v>
      </c>
      <c r="K1002">
        <v>999</v>
      </c>
    </row>
    <row r="1003" spans="1:11" x14ac:dyDescent="0.25">
      <c r="A1003" s="8" t="s">
        <v>1027</v>
      </c>
      <c r="B1003" s="8" t="s">
        <v>307</v>
      </c>
      <c r="C1003" s="8" t="s">
        <v>1027</v>
      </c>
      <c r="D1003" s="8" t="s">
        <v>2434</v>
      </c>
      <c r="E1003">
        <f t="shared" si="30"/>
        <v>6000001000</v>
      </c>
      <c r="F1003">
        <v>6</v>
      </c>
      <c r="J1003">
        <f t="shared" si="31"/>
        <v>20000000999</v>
      </c>
      <c r="K1003">
        <v>1000</v>
      </c>
    </row>
    <row r="1004" spans="1:11" x14ac:dyDescent="0.25">
      <c r="A1004" s="8" t="s">
        <v>1027</v>
      </c>
      <c r="B1004" s="8" t="s">
        <v>308</v>
      </c>
      <c r="C1004" s="8" t="s">
        <v>1027</v>
      </c>
      <c r="D1004" s="8" t="s">
        <v>2435</v>
      </c>
      <c r="E1004">
        <f t="shared" si="30"/>
        <v>6000001001</v>
      </c>
      <c r="F1004">
        <v>6</v>
      </c>
      <c r="J1004">
        <f t="shared" si="31"/>
        <v>20000001000</v>
      </c>
      <c r="K1004">
        <v>1001</v>
      </c>
    </row>
    <row r="1005" spans="1:11" x14ac:dyDescent="0.25">
      <c r="A1005" s="8" t="s">
        <v>1027</v>
      </c>
      <c r="B1005" s="8" t="s">
        <v>309</v>
      </c>
      <c r="C1005" s="8" t="s">
        <v>1027</v>
      </c>
      <c r="D1005" s="8" t="s">
        <v>2436</v>
      </c>
      <c r="E1005">
        <f t="shared" si="30"/>
        <v>6000001002</v>
      </c>
      <c r="F1005">
        <v>6</v>
      </c>
      <c r="J1005">
        <f t="shared" si="31"/>
        <v>20000001001</v>
      </c>
      <c r="K1005">
        <v>1002</v>
      </c>
    </row>
    <row r="1006" spans="1:11" x14ac:dyDescent="0.25">
      <c r="A1006" s="8" t="s">
        <v>1027</v>
      </c>
      <c r="B1006" s="8" t="s">
        <v>310</v>
      </c>
      <c r="C1006" s="8" t="s">
        <v>1027</v>
      </c>
      <c r="D1006" s="8" t="s">
        <v>2437</v>
      </c>
      <c r="E1006">
        <f t="shared" si="30"/>
        <v>6000001003</v>
      </c>
      <c r="F1006">
        <v>6</v>
      </c>
      <c r="J1006">
        <f t="shared" si="31"/>
        <v>20000001002</v>
      </c>
      <c r="K1006">
        <v>1003</v>
      </c>
    </row>
    <row r="1007" spans="1:11" x14ac:dyDescent="0.25">
      <c r="A1007" s="8" t="s">
        <v>447</v>
      </c>
      <c r="B1007" s="8" t="s">
        <v>699</v>
      </c>
      <c r="C1007" s="8" t="s">
        <v>447</v>
      </c>
      <c r="D1007" s="8" t="s">
        <v>2438</v>
      </c>
      <c r="E1007">
        <f t="shared" si="30"/>
        <v>2000001004</v>
      </c>
      <c r="F1007">
        <v>2</v>
      </c>
      <c r="J1007">
        <f t="shared" si="31"/>
        <v>20000001003</v>
      </c>
      <c r="K1007">
        <v>1004</v>
      </c>
    </row>
    <row r="1008" spans="1:11" x14ac:dyDescent="0.25">
      <c r="A1008" s="8" t="s">
        <v>447</v>
      </c>
      <c r="B1008" s="8" t="s">
        <v>819</v>
      </c>
      <c r="C1008" s="8" t="s">
        <v>447</v>
      </c>
      <c r="D1008" s="8" t="s">
        <v>2439</v>
      </c>
      <c r="E1008">
        <f t="shared" si="30"/>
        <v>2000001005</v>
      </c>
      <c r="F1008">
        <v>2</v>
      </c>
      <c r="J1008">
        <f t="shared" si="31"/>
        <v>20000001004</v>
      </c>
      <c r="K1008">
        <v>1005</v>
      </c>
    </row>
    <row r="1009" spans="1:11" x14ac:dyDescent="0.25">
      <c r="A1009" s="8" t="s">
        <v>447</v>
      </c>
      <c r="B1009" s="8" t="s">
        <v>820</v>
      </c>
      <c r="C1009" s="8" t="s">
        <v>447</v>
      </c>
      <c r="D1009" s="8" t="s">
        <v>2440</v>
      </c>
      <c r="E1009">
        <f t="shared" si="30"/>
        <v>2000001006</v>
      </c>
      <c r="F1009">
        <v>2</v>
      </c>
      <c r="J1009">
        <f t="shared" si="31"/>
        <v>20000001005</v>
      </c>
      <c r="K1009">
        <v>1006</v>
      </c>
    </row>
    <row r="1010" spans="1:11" x14ac:dyDescent="0.25">
      <c r="A1010" s="8" t="s">
        <v>447</v>
      </c>
      <c r="B1010" s="8" t="s">
        <v>1281</v>
      </c>
      <c r="C1010" s="8" t="s">
        <v>447</v>
      </c>
      <c r="D1010" s="8" t="s">
        <v>2441</v>
      </c>
      <c r="E1010">
        <f t="shared" si="30"/>
        <v>2000001007</v>
      </c>
      <c r="F1010">
        <v>2</v>
      </c>
      <c r="J1010">
        <f t="shared" si="31"/>
        <v>20000001006</v>
      </c>
      <c r="K1010">
        <v>1007</v>
      </c>
    </row>
    <row r="1011" spans="1:11" x14ac:dyDescent="0.25">
      <c r="A1011" s="8" t="s">
        <v>447</v>
      </c>
      <c r="B1011" s="8" t="s">
        <v>1282</v>
      </c>
      <c r="C1011" s="8" t="s">
        <v>447</v>
      </c>
      <c r="D1011" s="8" t="s">
        <v>2442</v>
      </c>
      <c r="E1011">
        <f t="shared" si="30"/>
        <v>2000001008</v>
      </c>
      <c r="F1011">
        <v>2</v>
      </c>
      <c r="J1011">
        <f t="shared" si="31"/>
        <v>20000001007</v>
      </c>
      <c r="K1011">
        <v>1008</v>
      </c>
    </row>
    <row r="1012" spans="1:11" x14ac:dyDescent="0.25">
      <c r="A1012" s="8" t="s">
        <v>452</v>
      </c>
      <c r="B1012" s="8" t="s">
        <v>453</v>
      </c>
      <c r="C1012" s="8" t="s">
        <v>452</v>
      </c>
      <c r="D1012" s="8" t="s">
        <v>2443</v>
      </c>
      <c r="E1012">
        <f t="shared" si="30"/>
        <v>2000001009</v>
      </c>
      <c r="F1012">
        <v>2</v>
      </c>
      <c r="J1012">
        <f t="shared" si="31"/>
        <v>20000001008</v>
      </c>
      <c r="K1012">
        <v>1009</v>
      </c>
    </row>
    <row r="1013" spans="1:11" x14ac:dyDescent="0.25">
      <c r="A1013" s="8" t="s">
        <v>460</v>
      </c>
      <c r="B1013" s="8" t="s">
        <v>821</v>
      </c>
      <c r="C1013" s="8" t="s">
        <v>460</v>
      </c>
      <c r="D1013" s="8" t="s">
        <v>2444</v>
      </c>
      <c r="E1013">
        <f t="shared" si="30"/>
        <v>4000001010</v>
      </c>
      <c r="F1013">
        <v>4</v>
      </c>
      <c r="J1013">
        <f t="shared" si="31"/>
        <v>20000001009</v>
      </c>
      <c r="K1013">
        <v>1010</v>
      </c>
    </row>
    <row r="1014" spans="1:11" x14ac:dyDescent="0.25">
      <c r="A1014" s="8" t="s">
        <v>460</v>
      </c>
      <c r="B1014" s="8" t="s">
        <v>822</v>
      </c>
      <c r="C1014" s="8" t="s">
        <v>460</v>
      </c>
      <c r="D1014" s="8" t="s">
        <v>2445</v>
      </c>
      <c r="E1014">
        <f t="shared" si="30"/>
        <v>4000001011</v>
      </c>
      <c r="F1014">
        <v>4</v>
      </c>
      <c r="J1014">
        <f t="shared" si="31"/>
        <v>20000001010</v>
      </c>
      <c r="K1014">
        <v>1011</v>
      </c>
    </row>
    <row r="1015" spans="1:11" x14ac:dyDescent="0.25">
      <c r="A1015" s="8" t="s">
        <v>460</v>
      </c>
      <c r="B1015" s="8" t="s">
        <v>823</v>
      </c>
      <c r="C1015" s="8" t="s">
        <v>460</v>
      </c>
      <c r="D1015" s="8" t="s">
        <v>2446</v>
      </c>
      <c r="E1015">
        <f t="shared" si="30"/>
        <v>4000001012</v>
      </c>
      <c r="F1015">
        <v>4</v>
      </c>
      <c r="J1015">
        <f t="shared" si="31"/>
        <v>20000001011</v>
      </c>
      <c r="K1015">
        <v>1012</v>
      </c>
    </row>
    <row r="1016" spans="1:11" x14ac:dyDescent="0.25">
      <c r="A1016" s="8" t="s">
        <v>460</v>
      </c>
      <c r="B1016" s="8" t="s">
        <v>824</v>
      </c>
      <c r="C1016" s="8" t="s">
        <v>460</v>
      </c>
      <c r="D1016" s="8" t="s">
        <v>2447</v>
      </c>
      <c r="E1016">
        <f t="shared" si="30"/>
        <v>1000001013</v>
      </c>
      <c r="F1016">
        <v>1</v>
      </c>
      <c r="J1016">
        <f t="shared" si="31"/>
        <v>20000001012</v>
      </c>
      <c r="K1016">
        <v>1013</v>
      </c>
    </row>
    <row r="1017" spans="1:11" x14ac:dyDescent="0.25">
      <c r="A1017" s="8" t="s">
        <v>460</v>
      </c>
      <c r="B1017" s="8" t="s">
        <v>983</v>
      </c>
      <c r="C1017" s="8" t="s">
        <v>460</v>
      </c>
      <c r="D1017" s="8" t="s">
        <v>2448</v>
      </c>
      <c r="E1017">
        <f t="shared" si="30"/>
        <v>1000001014</v>
      </c>
      <c r="F1017">
        <v>1</v>
      </c>
      <c r="J1017">
        <f t="shared" si="31"/>
        <v>20000001013</v>
      </c>
      <c r="K1017">
        <v>1014</v>
      </c>
    </row>
    <row r="1018" spans="1:11" x14ac:dyDescent="0.25">
      <c r="A1018" s="8" t="s">
        <v>460</v>
      </c>
      <c r="B1018" s="8" t="s">
        <v>1283</v>
      </c>
      <c r="C1018" s="8" t="s">
        <v>460</v>
      </c>
      <c r="D1018" s="8" t="s">
        <v>2449</v>
      </c>
      <c r="E1018">
        <f t="shared" si="30"/>
        <v>4000001015</v>
      </c>
      <c r="F1018">
        <v>4</v>
      </c>
      <c r="J1018">
        <f t="shared" si="31"/>
        <v>20000001014</v>
      </c>
      <c r="K1018">
        <v>1015</v>
      </c>
    </row>
    <row r="1019" spans="1:11" x14ac:dyDescent="0.25">
      <c r="A1019" s="8" t="s">
        <v>460</v>
      </c>
      <c r="B1019" s="8" t="s">
        <v>825</v>
      </c>
      <c r="C1019" s="8" t="s">
        <v>460</v>
      </c>
      <c r="D1019" s="8" t="s">
        <v>2450</v>
      </c>
      <c r="E1019">
        <f t="shared" si="30"/>
        <v>4000001016</v>
      </c>
      <c r="F1019">
        <v>4</v>
      </c>
      <c r="J1019">
        <f t="shared" si="31"/>
        <v>20000001015</v>
      </c>
      <c r="K1019">
        <v>1016</v>
      </c>
    </row>
    <row r="1020" spans="1:11" x14ac:dyDescent="0.25">
      <c r="A1020" s="8" t="s">
        <v>460</v>
      </c>
      <c r="B1020" s="8" t="s">
        <v>826</v>
      </c>
      <c r="C1020" s="8" t="s">
        <v>460</v>
      </c>
      <c r="D1020" s="8" t="s">
        <v>2451</v>
      </c>
      <c r="E1020">
        <f t="shared" si="30"/>
        <v>4000001017</v>
      </c>
      <c r="F1020">
        <v>4</v>
      </c>
      <c r="J1020">
        <f t="shared" si="31"/>
        <v>20000001016</v>
      </c>
      <c r="K1020">
        <v>1017</v>
      </c>
    </row>
    <row r="1021" spans="1:11" x14ac:dyDescent="0.25">
      <c r="A1021" s="8" t="s">
        <v>460</v>
      </c>
      <c r="B1021" s="8" t="s">
        <v>827</v>
      </c>
      <c r="C1021" s="8" t="s">
        <v>460</v>
      </c>
      <c r="D1021" s="8" t="s">
        <v>2452</v>
      </c>
      <c r="E1021">
        <f t="shared" si="30"/>
        <v>4000001018</v>
      </c>
      <c r="F1021">
        <v>4</v>
      </c>
      <c r="J1021">
        <f t="shared" si="31"/>
        <v>20000001017</v>
      </c>
      <c r="K1021">
        <v>1018</v>
      </c>
    </row>
    <row r="1022" spans="1:11" x14ac:dyDescent="0.25">
      <c r="A1022" s="8" t="s">
        <v>460</v>
      </c>
      <c r="B1022" s="8" t="s">
        <v>828</v>
      </c>
      <c r="C1022" s="8" t="s">
        <v>460</v>
      </c>
      <c r="D1022" s="8" t="s">
        <v>2453</v>
      </c>
      <c r="E1022">
        <f t="shared" si="30"/>
        <v>4000001019</v>
      </c>
      <c r="F1022">
        <v>4</v>
      </c>
      <c r="J1022">
        <f t="shared" si="31"/>
        <v>20000001018</v>
      </c>
      <c r="K1022">
        <v>1019</v>
      </c>
    </row>
    <row r="1023" spans="1:11" x14ac:dyDescent="0.25">
      <c r="A1023" s="8" t="s">
        <v>460</v>
      </c>
      <c r="B1023" s="8" t="s">
        <v>984</v>
      </c>
      <c r="C1023" s="8" t="s">
        <v>460</v>
      </c>
      <c r="D1023" s="8" t="s">
        <v>2454</v>
      </c>
      <c r="E1023">
        <f t="shared" si="30"/>
        <v>4000001020</v>
      </c>
      <c r="F1023">
        <v>4</v>
      </c>
      <c r="J1023">
        <f t="shared" si="31"/>
        <v>20000001019</v>
      </c>
      <c r="K1023">
        <v>1020</v>
      </c>
    </row>
    <row r="1024" spans="1:11" x14ac:dyDescent="0.25">
      <c r="A1024" s="8" t="s">
        <v>460</v>
      </c>
      <c r="B1024" s="8" t="s">
        <v>829</v>
      </c>
      <c r="C1024" s="8" t="s">
        <v>460</v>
      </c>
      <c r="D1024" s="8" t="s">
        <v>2455</v>
      </c>
      <c r="E1024">
        <f t="shared" si="30"/>
        <v>4000001021</v>
      </c>
      <c r="F1024">
        <v>4</v>
      </c>
      <c r="J1024">
        <f t="shared" si="31"/>
        <v>20000001020</v>
      </c>
      <c r="K1024">
        <v>1021</v>
      </c>
    </row>
    <row r="1025" spans="1:11" x14ac:dyDescent="0.25">
      <c r="A1025" s="8" t="s">
        <v>460</v>
      </c>
      <c r="B1025" s="8" t="s">
        <v>985</v>
      </c>
      <c r="C1025" s="8" t="s">
        <v>460</v>
      </c>
      <c r="D1025" s="8" t="s">
        <v>2456</v>
      </c>
      <c r="E1025">
        <f t="shared" si="30"/>
        <v>4000001022</v>
      </c>
      <c r="F1025">
        <v>4</v>
      </c>
      <c r="J1025">
        <f t="shared" si="31"/>
        <v>20000001021</v>
      </c>
      <c r="K1025">
        <v>1022</v>
      </c>
    </row>
    <row r="1026" spans="1:11" x14ac:dyDescent="0.25">
      <c r="A1026" s="8" t="s">
        <v>460</v>
      </c>
      <c r="B1026" s="8" t="s">
        <v>830</v>
      </c>
      <c r="C1026" s="8" t="s">
        <v>460</v>
      </c>
      <c r="D1026" s="8" t="s">
        <v>2457</v>
      </c>
      <c r="E1026">
        <f t="shared" si="30"/>
        <v>4000001023</v>
      </c>
      <c r="F1026">
        <v>4</v>
      </c>
      <c r="J1026">
        <f t="shared" si="31"/>
        <v>20000001022</v>
      </c>
      <c r="K1026">
        <v>1023</v>
      </c>
    </row>
    <row r="1027" spans="1:11" x14ac:dyDescent="0.25">
      <c r="A1027" s="8" t="s">
        <v>460</v>
      </c>
      <c r="B1027" s="8" t="s">
        <v>831</v>
      </c>
      <c r="C1027" s="8" t="s">
        <v>460</v>
      </c>
      <c r="D1027" s="8" t="s">
        <v>2458</v>
      </c>
      <c r="E1027">
        <f t="shared" si="30"/>
        <v>4000001024</v>
      </c>
      <c r="F1027">
        <v>4</v>
      </c>
      <c r="J1027">
        <f t="shared" si="31"/>
        <v>20000001023</v>
      </c>
      <c r="K1027">
        <v>1024</v>
      </c>
    </row>
    <row r="1028" spans="1:11" x14ac:dyDescent="0.25">
      <c r="A1028" s="8" t="s">
        <v>460</v>
      </c>
      <c r="B1028" s="8" t="s">
        <v>832</v>
      </c>
      <c r="C1028" s="8" t="s">
        <v>460</v>
      </c>
      <c r="D1028" s="8" t="s">
        <v>2459</v>
      </c>
      <c r="E1028">
        <f t="shared" si="30"/>
        <v>4000001025</v>
      </c>
      <c r="F1028">
        <v>4</v>
      </c>
      <c r="J1028">
        <f t="shared" si="31"/>
        <v>20000001024</v>
      </c>
      <c r="K1028">
        <v>1025</v>
      </c>
    </row>
    <row r="1029" spans="1:11" x14ac:dyDescent="0.25">
      <c r="A1029" s="8" t="s">
        <v>460</v>
      </c>
      <c r="B1029" s="8" t="s">
        <v>833</v>
      </c>
      <c r="C1029" s="8" t="s">
        <v>460</v>
      </c>
      <c r="D1029" s="8" t="s">
        <v>2460</v>
      </c>
      <c r="E1029">
        <f t="shared" ref="E1029:E1092" si="32">IF(F1029="",J1029,IF(G1029="",F1029*$F$2+K1029,IF(H1029="",F1029*$F$2+G1029*$G$2+K1029,IF(I1029="",F1029*$F$2+G1029*$G$2+H1029*$H$2+K1029,F1029*$F$2+G1029*$G$2+H1029*$H$2+I1029*$I$2+K1029))))</f>
        <v>4000001026</v>
      </c>
      <c r="F1029">
        <v>4</v>
      </c>
      <c r="J1029">
        <f t="shared" si="31"/>
        <v>20000001025</v>
      </c>
      <c r="K1029">
        <v>1026</v>
      </c>
    </row>
    <row r="1030" spans="1:11" x14ac:dyDescent="0.25">
      <c r="A1030" s="8" t="s">
        <v>460</v>
      </c>
      <c r="B1030" s="8" t="s">
        <v>1284</v>
      </c>
      <c r="C1030" s="8" t="s">
        <v>460</v>
      </c>
      <c r="D1030" s="8" t="s">
        <v>2461</v>
      </c>
      <c r="E1030">
        <f t="shared" si="32"/>
        <v>4000001027</v>
      </c>
      <c r="F1030">
        <v>4</v>
      </c>
      <c r="J1030">
        <f t="shared" si="31"/>
        <v>20000001026</v>
      </c>
      <c r="K1030">
        <v>1027</v>
      </c>
    </row>
    <row r="1031" spans="1:11" x14ac:dyDescent="0.25">
      <c r="A1031" s="8" t="s">
        <v>460</v>
      </c>
      <c r="B1031" s="8" t="s">
        <v>986</v>
      </c>
      <c r="C1031" s="8" t="s">
        <v>460</v>
      </c>
      <c r="D1031" s="8" t="s">
        <v>2462</v>
      </c>
      <c r="E1031">
        <f t="shared" si="32"/>
        <v>4000001028</v>
      </c>
      <c r="F1031">
        <v>4</v>
      </c>
      <c r="J1031">
        <f t="shared" si="31"/>
        <v>20000001027</v>
      </c>
      <c r="K1031">
        <v>1028</v>
      </c>
    </row>
    <row r="1032" spans="1:11" x14ac:dyDescent="0.25">
      <c r="A1032" s="8" t="s">
        <v>460</v>
      </c>
      <c r="B1032" s="8" t="s">
        <v>987</v>
      </c>
      <c r="C1032" s="8" t="s">
        <v>460</v>
      </c>
      <c r="D1032" s="8" t="s">
        <v>2463</v>
      </c>
      <c r="E1032">
        <f t="shared" si="32"/>
        <v>4000001029</v>
      </c>
      <c r="F1032">
        <v>4</v>
      </c>
      <c r="J1032">
        <f t="shared" si="31"/>
        <v>20000001028</v>
      </c>
      <c r="K1032">
        <v>1029</v>
      </c>
    </row>
    <row r="1033" spans="1:11" x14ac:dyDescent="0.25">
      <c r="A1033" s="8" t="s">
        <v>460</v>
      </c>
      <c r="B1033" s="8" t="s">
        <v>834</v>
      </c>
      <c r="C1033" s="8" t="s">
        <v>460</v>
      </c>
      <c r="D1033" s="8" t="s">
        <v>2464</v>
      </c>
      <c r="E1033">
        <f t="shared" si="32"/>
        <v>4000001030</v>
      </c>
      <c r="F1033">
        <v>4</v>
      </c>
      <c r="J1033">
        <f t="shared" ref="J1033:J1096" si="33">J1032+1</f>
        <v>20000001029</v>
      </c>
      <c r="K1033">
        <v>1030</v>
      </c>
    </row>
    <row r="1034" spans="1:11" x14ac:dyDescent="0.25">
      <c r="A1034" s="8" t="s">
        <v>460</v>
      </c>
      <c r="B1034" s="8" t="s">
        <v>835</v>
      </c>
      <c r="C1034" s="8" t="s">
        <v>460</v>
      </c>
      <c r="D1034" s="8" t="s">
        <v>2465</v>
      </c>
      <c r="E1034">
        <f t="shared" si="32"/>
        <v>4000001031</v>
      </c>
      <c r="F1034">
        <v>4</v>
      </c>
      <c r="J1034">
        <f t="shared" si="33"/>
        <v>20000001030</v>
      </c>
      <c r="K1034">
        <v>1031</v>
      </c>
    </row>
    <row r="1035" spans="1:11" x14ac:dyDescent="0.25">
      <c r="A1035" s="8" t="s">
        <v>460</v>
      </c>
      <c r="B1035" s="8" t="s">
        <v>700</v>
      </c>
      <c r="C1035" s="8" t="s">
        <v>460</v>
      </c>
      <c r="D1035" s="8" t="s">
        <v>2466</v>
      </c>
      <c r="E1035">
        <f t="shared" si="32"/>
        <v>4000001032</v>
      </c>
      <c r="F1035">
        <v>4</v>
      </c>
      <c r="J1035">
        <f t="shared" si="33"/>
        <v>20000001031</v>
      </c>
      <c r="K1035">
        <v>1032</v>
      </c>
    </row>
    <row r="1036" spans="1:11" x14ac:dyDescent="0.25">
      <c r="A1036" s="8" t="s">
        <v>460</v>
      </c>
      <c r="B1036" s="8" t="s">
        <v>836</v>
      </c>
      <c r="C1036" s="8" t="s">
        <v>460</v>
      </c>
      <c r="D1036" s="8" t="s">
        <v>2467</v>
      </c>
      <c r="E1036">
        <f t="shared" si="32"/>
        <v>4000001033</v>
      </c>
      <c r="F1036">
        <v>4</v>
      </c>
      <c r="J1036">
        <f t="shared" si="33"/>
        <v>20000001032</v>
      </c>
      <c r="K1036">
        <v>1033</v>
      </c>
    </row>
    <row r="1037" spans="1:11" x14ac:dyDescent="0.25">
      <c r="A1037" s="8" t="s">
        <v>460</v>
      </c>
      <c r="B1037" s="8" t="s">
        <v>837</v>
      </c>
      <c r="C1037" s="8" t="s">
        <v>460</v>
      </c>
      <c r="D1037" s="8" t="s">
        <v>2468</v>
      </c>
      <c r="E1037">
        <f t="shared" si="32"/>
        <v>4000001034</v>
      </c>
      <c r="F1037">
        <v>4</v>
      </c>
      <c r="J1037">
        <f t="shared" si="33"/>
        <v>20000001033</v>
      </c>
      <c r="K1037">
        <v>1034</v>
      </c>
    </row>
    <row r="1038" spans="1:11" x14ac:dyDescent="0.25">
      <c r="A1038" s="8" t="s">
        <v>460</v>
      </c>
      <c r="B1038" s="8" t="s">
        <v>838</v>
      </c>
      <c r="C1038" s="8" t="s">
        <v>460</v>
      </c>
      <c r="D1038" s="8" t="s">
        <v>2469</v>
      </c>
      <c r="E1038">
        <f t="shared" si="32"/>
        <v>4000001035</v>
      </c>
      <c r="F1038">
        <v>4</v>
      </c>
      <c r="J1038">
        <f t="shared" si="33"/>
        <v>20000001034</v>
      </c>
      <c r="K1038">
        <v>1035</v>
      </c>
    </row>
    <row r="1039" spans="1:11" x14ac:dyDescent="0.25">
      <c r="A1039" s="8" t="s">
        <v>460</v>
      </c>
      <c r="B1039" s="8" t="s">
        <v>839</v>
      </c>
      <c r="C1039" s="8" t="s">
        <v>460</v>
      </c>
      <c r="D1039" s="8" t="s">
        <v>2470</v>
      </c>
      <c r="E1039">
        <f t="shared" si="32"/>
        <v>4000001036</v>
      </c>
      <c r="F1039">
        <v>4</v>
      </c>
      <c r="J1039">
        <f t="shared" si="33"/>
        <v>20000001035</v>
      </c>
      <c r="K1039">
        <v>1036</v>
      </c>
    </row>
    <row r="1040" spans="1:11" x14ac:dyDescent="0.25">
      <c r="A1040" s="8" t="s">
        <v>460</v>
      </c>
      <c r="B1040" s="8" t="s">
        <v>1285</v>
      </c>
      <c r="C1040" s="8" t="s">
        <v>460</v>
      </c>
      <c r="D1040" s="8" t="s">
        <v>2471</v>
      </c>
      <c r="E1040">
        <f t="shared" si="32"/>
        <v>4000001037</v>
      </c>
      <c r="F1040">
        <v>4</v>
      </c>
      <c r="J1040">
        <f t="shared" si="33"/>
        <v>20000001036</v>
      </c>
      <c r="K1040">
        <v>1037</v>
      </c>
    </row>
    <row r="1041" spans="1:11" x14ac:dyDescent="0.25">
      <c r="A1041" s="8" t="s">
        <v>460</v>
      </c>
      <c r="B1041" s="8" t="s">
        <v>840</v>
      </c>
      <c r="C1041" s="8" t="s">
        <v>460</v>
      </c>
      <c r="D1041" s="8" t="s">
        <v>2472</v>
      </c>
      <c r="E1041">
        <f t="shared" si="32"/>
        <v>4000001038</v>
      </c>
      <c r="F1041">
        <v>4</v>
      </c>
      <c r="J1041">
        <f t="shared" si="33"/>
        <v>20000001037</v>
      </c>
      <c r="K1041">
        <v>1038</v>
      </c>
    </row>
    <row r="1042" spans="1:11" x14ac:dyDescent="0.25">
      <c r="A1042" s="8" t="s">
        <v>904</v>
      </c>
      <c r="B1042" s="8">
        <v>1604</v>
      </c>
      <c r="C1042" s="8" t="s">
        <v>904</v>
      </c>
      <c r="D1042" s="8" t="s">
        <v>2473</v>
      </c>
      <c r="E1042">
        <f t="shared" si="32"/>
        <v>6000001039</v>
      </c>
      <c r="F1042">
        <v>6</v>
      </c>
      <c r="J1042">
        <f t="shared" si="33"/>
        <v>20000001038</v>
      </c>
      <c r="K1042">
        <v>1039</v>
      </c>
    </row>
    <row r="1043" spans="1:11" x14ac:dyDescent="0.25">
      <c r="A1043" s="8" t="s">
        <v>904</v>
      </c>
      <c r="B1043" s="8" t="s">
        <v>905</v>
      </c>
      <c r="C1043" s="8" t="s">
        <v>904</v>
      </c>
      <c r="D1043" s="8" t="s">
        <v>2474</v>
      </c>
      <c r="E1043">
        <f t="shared" si="32"/>
        <v>6000001040</v>
      </c>
      <c r="F1043">
        <v>6</v>
      </c>
      <c r="J1043">
        <f t="shared" si="33"/>
        <v>20000001039</v>
      </c>
      <c r="K1043">
        <v>1040</v>
      </c>
    </row>
    <row r="1044" spans="1:11" x14ac:dyDescent="0.25">
      <c r="A1044" s="8" t="s">
        <v>904</v>
      </c>
      <c r="B1044" s="8" t="s">
        <v>25</v>
      </c>
      <c r="C1044" s="8" t="s">
        <v>904</v>
      </c>
      <c r="D1044" s="8" t="s">
        <v>2475</v>
      </c>
      <c r="E1044">
        <f t="shared" si="32"/>
        <v>6000001041</v>
      </c>
      <c r="F1044">
        <v>6</v>
      </c>
      <c r="J1044">
        <f t="shared" si="33"/>
        <v>20000001040</v>
      </c>
      <c r="K1044">
        <v>1041</v>
      </c>
    </row>
    <row r="1045" spans="1:11" x14ac:dyDescent="0.25">
      <c r="A1045" s="8" t="s">
        <v>904</v>
      </c>
      <c r="B1045" s="8" t="s">
        <v>817</v>
      </c>
      <c r="C1045" s="8" t="s">
        <v>904</v>
      </c>
      <c r="D1045" s="8" t="s">
        <v>2476</v>
      </c>
      <c r="E1045">
        <f t="shared" si="32"/>
        <v>6000001042</v>
      </c>
      <c r="F1045">
        <v>6</v>
      </c>
      <c r="J1045">
        <f t="shared" si="33"/>
        <v>20000001041</v>
      </c>
      <c r="K1045">
        <v>1042</v>
      </c>
    </row>
    <row r="1046" spans="1:11" x14ac:dyDescent="0.25">
      <c r="A1046" s="8" t="s">
        <v>906</v>
      </c>
      <c r="B1046" s="8" t="s">
        <v>478</v>
      </c>
      <c r="C1046" s="8" t="s">
        <v>906</v>
      </c>
      <c r="D1046" s="8" t="s">
        <v>2477</v>
      </c>
      <c r="E1046">
        <f t="shared" si="32"/>
        <v>2000001043</v>
      </c>
      <c r="F1046">
        <v>2</v>
      </c>
      <c r="J1046">
        <f t="shared" si="33"/>
        <v>20000001042</v>
      </c>
      <c r="K1046">
        <v>1043</v>
      </c>
    </row>
    <row r="1047" spans="1:11" x14ac:dyDescent="0.25">
      <c r="A1047" s="8" t="s">
        <v>906</v>
      </c>
      <c r="B1047" s="8" t="s">
        <v>479</v>
      </c>
      <c r="C1047" s="8" t="s">
        <v>906</v>
      </c>
      <c r="D1047" s="8" t="s">
        <v>2478</v>
      </c>
      <c r="E1047">
        <f t="shared" si="32"/>
        <v>2000001044</v>
      </c>
      <c r="F1047">
        <v>2</v>
      </c>
      <c r="J1047">
        <f t="shared" si="33"/>
        <v>20000001043</v>
      </c>
      <c r="K1047">
        <v>1044</v>
      </c>
    </row>
    <row r="1048" spans="1:11" x14ac:dyDescent="0.25">
      <c r="A1048" s="8" t="s">
        <v>906</v>
      </c>
      <c r="B1048" s="8" t="s">
        <v>1286</v>
      </c>
      <c r="C1048" s="8" t="s">
        <v>906</v>
      </c>
      <c r="D1048" s="8" t="s">
        <v>2479</v>
      </c>
      <c r="E1048">
        <f t="shared" si="32"/>
        <v>2000001045</v>
      </c>
      <c r="F1048">
        <v>2</v>
      </c>
      <c r="J1048">
        <f t="shared" si="33"/>
        <v>20000001044</v>
      </c>
      <c r="K1048">
        <v>1045</v>
      </c>
    </row>
    <row r="1049" spans="1:11" x14ac:dyDescent="0.25">
      <c r="A1049" s="8" t="s">
        <v>1028</v>
      </c>
      <c r="B1049" s="8" t="s">
        <v>1287</v>
      </c>
      <c r="C1049" s="8" t="s">
        <v>1028</v>
      </c>
      <c r="D1049" s="8" t="s">
        <v>2480</v>
      </c>
      <c r="E1049">
        <f t="shared" si="32"/>
        <v>2000001046</v>
      </c>
      <c r="F1049">
        <v>2</v>
      </c>
      <c r="J1049">
        <f t="shared" si="33"/>
        <v>20000001045</v>
      </c>
      <c r="K1049">
        <v>1046</v>
      </c>
    </row>
    <row r="1050" spans="1:11" x14ac:dyDescent="0.25">
      <c r="A1050" s="8" t="s">
        <v>464</v>
      </c>
      <c r="B1050" s="8" t="s">
        <v>1288</v>
      </c>
      <c r="C1050" s="8" t="s">
        <v>464</v>
      </c>
      <c r="D1050" s="8" t="s">
        <v>2481</v>
      </c>
      <c r="E1050">
        <f t="shared" si="32"/>
        <v>2000001047</v>
      </c>
      <c r="F1050">
        <v>2</v>
      </c>
      <c r="J1050">
        <f t="shared" si="33"/>
        <v>20000001046</v>
      </c>
      <c r="K1050">
        <v>1047</v>
      </c>
    </row>
    <row r="1051" spans="1:11" x14ac:dyDescent="0.25">
      <c r="A1051" s="8" t="s">
        <v>464</v>
      </c>
      <c r="B1051" s="8" t="s">
        <v>465</v>
      </c>
      <c r="C1051" s="8" t="s">
        <v>464</v>
      </c>
      <c r="D1051" s="8" t="s">
        <v>2482</v>
      </c>
      <c r="E1051">
        <f t="shared" si="32"/>
        <v>2000001048</v>
      </c>
      <c r="F1051">
        <v>2</v>
      </c>
      <c r="J1051">
        <f t="shared" si="33"/>
        <v>20000001047</v>
      </c>
      <c r="K1051">
        <v>1048</v>
      </c>
    </row>
    <row r="1052" spans="1:11" x14ac:dyDescent="0.25">
      <c r="A1052" s="8" t="s">
        <v>464</v>
      </c>
      <c r="B1052" s="8" t="s">
        <v>1289</v>
      </c>
      <c r="C1052" s="8" t="s">
        <v>464</v>
      </c>
      <c r="D1052" s="8" t="s">
        <v>2482</v>
      </c>
      <c r="E1052">
        <f t="shared" si="32"/>
        <v>2000001049</v>
      </c>
      <c r="F1052">
        <v>2</v>
      </c>
      <c r="J1052">
        <f t="shared" si="33"/>
        <v>20000001048</v>
      </c>
      <c r="K1052">
        <v>1049</v>
      </c>
    </row>
    <row r="1053" spans="1:11" x14ac:dyDescent="0.25">
      <c r="A1053" s="8" t="s">
        <v>464</v>
      </c>
      <c r="B1053" s="8" t="s">
        <v>988</v>
      </c>
      <c r="C1053" s="8" t="s">
        <v>464</v>
      </c>
      <c r="D1053" s="8" t="s">
        <v>2483</v>
      </c>
      <c r="E1053">
        <f t="shared" si="32"/>
        <v>2000001050</v>
      </c>
      <c r="F1053">
        <v>2</v>
      </c>
      <c r="J1053">
        <f t="shared" si="33"/>
        <v>20000001049</v>
      </c>
      <c r="K1053">
        <v>1050</v>
      </c>
    </row>
    <row r="1054" spans="1:11" x14ac:dyDescent="0.25">
      <c r="A1054" s="8" t="s">
        <v>464</v>
      </c>
      <c r="B1054" s="8" t="s">
        <v>989</v>
      </c>
      <c r="C1054" s="8" t="s">
        <v>464</v>
      </c>
      <c r="D1054" s="8" t="s">
        <v>2484</v>
      </c>
      <c r="E1054">
        <f t="shared" si="32"/>
        <v>2000001051</v>
      </c>
      <c r="F1054">
        <v>2</v>
      </c>
      <c r="J1054">
        <f t="shared" si="33"/>
        <v>20000001050</v>
      </c>
      <c r="K1054">
        <v>1051</v>
      </c>
    </row>
    <row r="1055" spans="1:11" x14ac:dyDescent="0.25">
      <c r="A1055" s="8" t="s">
        <v>464</v>
      </c>
      <c r="B1055" s="8" t="s">
        <v>990</v>
      </c>
      <c r="C1055" s="8" t="s">
        <v>464</v>
      </c>
      <c r="D1055" s="8" t="s">
        <v>2485</v>
      </c>
      <c r="E1055">
        <f t="shared" si="32"/>
        <v>6000001052</v>
      </c>
      <c r="F1055">
        <v>6</v>
      </c>
      <c r="J1055">
        <f t="shared" si="33"/>
        <v>20000001051</v>
      </c>
      <c r="K1055">
        <v>1052</v>
      </c>
    </row>
    <row r="1056" spans="1:11" x14ac:dyDescent="0.25">
      <c r="A1056" s="8" t="s">
        <v>464</v>
      </c>
      <c r="B1056" s="8" t="s">
        <v>462</v>
      </c>
      <c r="C1056" s="8" t="s">
        <v>464</v>
      </c>
      <c r="D1056" s="8" t="s">
        <v>2486</v>
      </c>
      <c r="E1056">
        <f t="shared" si="32"/>
        <v>3000001053</v>
      </c>
      <c r="F1056">
        <v>3</v>
      </c>
      <c r="J1056">
        <f t="shared" si="33"/>
        <v>20000001052</v>
      </c>
      <c r="K1056">
        <v>1053</v>
      </c>
    </row>
    <row r="1057" spans="1:11" x14ac:dyDescent="0.25">
      <c r="A1057" s="8" t="s">
        <v>464</v>
      </c>
      <c r="B1057" s="8" t="s">
        <v>1290</v>
      </c>
      <c r="C1057" s="8" t="s">
        <v>464</v>
      </c>
      <c r="D1057" s="8" t="s">
        <v>2487</v>
      </c>
      <c r="E1057">
        <f t="shared" si="32"/>
        <v>3000001054</v>
      </c>
      <c r="F1057">
        <v>3</v>
      </c>
      <c r="J1057">
        <f t="shared" si="33"/>
        <v>20000001053</v>
      </c>
      <c r="K1057">
        <v>1054</v>
      </c>
    </row>
    <row r="1058" spans="1:11" x14ac:dyDescent="0.25">
      <c r="A1058" s="8" t="s">
        <v>464</v>
      </c>
      <c r="B1058" s="8" t="s">
        <v>1291</v>
      </c>
      <c r="C1058" s="8" t="s">
        <v>464</v>
      </c>
      <c r="D1058" s="8" t="s">
        <v>2488</v>
      </c>
      <c r="E1058">
        <f t="shared" si="32"/>
        <v>3000001055</v>
      </c>
      <c r="F1058">
        <v>3</v>
      </c>
      <c r="J1058">
        <f t="shared" si="33"/>
        <v>20000001054</v>
      </c>
      <c r="K1058">
        <v>1055</v>
      </c>
    </row>
    <row r="1059" spans="1:11" x14ac:dyDescent="0.25">
      <c r="A1059" s="8" t="s">
        <v>464</v>
      </c>
      <c r="B1059" s="8" t="s">
        <v>1292</v>
      </c>
      <c r="C1059" s="8" t="s">
        <v>464</v>
      </c>
      <c r="D1059" s="8" t="s">
        <v>2489</v>
      </c>
      <c r="E1059">
        <f t="shared" si="32"/>
        <v>3000001056</v>
      </c>
      <c r="F1059">
        <v>3</v>
      </c>
      <c r="J1059">
        <f t="shared" si="33"/>
        <v>20000001055</v>
      </c>
      <c r="K1059">
        <v>1056</v>
      </c>
    </row>
    <row r="1060" spans="1:11" x14ac:dyDescent="0.25">
      <c r="A1060" s="8" t="s">
        <v>464</v>
      </c>
      <c r="B1060" s="8" t="s">
        <v>466</v>
      </c>
      <c r="C1060" s="8" t="s">
        <v>464</v>
      </c>
      <c r="D1060" s="8" t="s">
        <v>2490</v>
      </c>
      <c r="E1060">
        <f t="shared" si="32"/>
        <v>3000001057</v>
      </c>
      <c r="F1060">
        <v>3</v>
      </c>
      <c r="J1060">
        <f t="shared" si="33"/>
        <v>20000001056</v>
      </c>
      <c r="K1060">
        <v>1057</v>
      </c>
    </row>
    <row r="1061" spans="1:11" x14ac:dyDescent="0.25">
      <c r="A1061" s="8" t="s">
        <v>464</v>
      </c>
      <c r="B1061" s="8" t="s">
        <v>467</v>
      </c>
      <c r="C1061" s="8" t="s">
        <v>464</v>
      </c>
      <c r="D1061" s="8" t="s">
        <v>2491</v>
      </c>
      <c r="E1061">
        <f t="shared" si="32"/>
        <v>3000001058</v>
      </c>
      <c r="F1061">
        <v>3</v>
      </c>
      <c r="J1061">
        <f t="shared" si="33"/>
        <v>20000001057</v>
      </c>
      <c r="K1061">
        <v>1058</v>
      </c>
    </row>
    <row r="1062" spans="1:11" x14ac:dyDescent="0.25">
      <c r="A1062" s="8" t="s">
        <v>464</v>
      </c>
      <c r="B1062" s="8" t="s">
        <v>991</v>
      </c>
      <c r="C1062" s="8" t="s">
        <v>464</v>
      </c>
      <c r="D1062" s="8" t="s">
        <v>2492</v>
      </c>
      <c r="E1062">
        <f t="shared" si="32"/>
        <v>3000001059</v>
      </c>
      <c r="F1062">
        <v>3</v>
      </c>
      <c r="J1062">
        <f t="shared" si="33"/>
        <v>20000001058</v>
      </c>
      <c r="K1062">
        <v>1059</v>
      </c>
    </row>
    <row r="1063" spans="1:11" x14ac:dyDescent="0.25">
      <c r="A1063" s="8" t="s">
        <v>464</v>
      </c>
      <c r="B1063" s="8" t="s">
        <v>1293</v>
      </c>
      <c r="C1063" s="8" t="s">
        <v>464</v>
      </c>
      <c r="D1063" s="8" t="s">
        <v>2493</v>
      </c>
      <c r="E1063">
        <f t="shared" si="32"/>
        <v>3000001060</v>
      </c>
      <c r="F1063">
        <v>3</v>
      </c>
      <c r="J1063">
        <f t="shared" si="33"/>
        <v>20000001059</v>
      </c>
      <c r="K1063">
        <v>1060</v>
      </c>
    </row>
    <row r="1064" spans="1:11" x14ac:dyDescent="0.25">
      <c r="A1064" s="8" t="s">
        <v>464</v>
      </c>
      <c r="B1064" s="8" t="s">
        <v>468</v>
      </c>
      <c r="C1064" s="8" t="s">
        <v>464</v>
      </c>
      <c r="D1064" s="8" t="s">
        <v>2494</v>
      </c>
      <c r="E1064">
        <f t="shared" si="32"/>
        <v>3000001061</v>
      </c>
      <c r="F1064">
        <v>3</v>
      </c>
      <c r="J1064">
        <f t="shared" si="33"/>
        <v>20000001060</v>
      </c>
      <c r="K1064">
        <v>1061</v>
      </c>
    </row>
    <row r="1065" spans="1:11" x14ac:dyDescent="0.25">
      <c r="A1065" s="8" t="s">
        <v>464</v>
      </c>
      <c r="B1065" s="8" t="s">
        <v>1294</v>
      </c>
      <c r="C1065" s="8" t="s">
        <v>464</v>
      </c>
      <c r="D1065" s="8" t="s">
        <v>2495</v>
      </c>
      <c r="E1065">
        <f t="shared" si="32"/>
        <v>3000001062</v>
      </c>
      <c r="F1065">
        <v>3</v>
      </c>
      <c r="J1065">
        <f t="shared" si="33"/>
        <v>20000001061</v>
      </c>
      <c r="K1065">
        <v>1062</v>
      </c>
    </row>
    <row r="1066" spans="1:11" x14ac:dyDescent="0.25">
      <c r="A1066" s="8" t="s">
        <v>464</v>
      </c>
      <c r="B1066" s="8" t="s">
        <v>1295</v>
      </c>
      <c r="C1066" s="8" t="s">
        <v>464</v>
      </c>
      <c r="D1066" s="8" t="s">
        <v>2496</v>
      </c>
      <c r="E1066">
        <f t="shared" si="32"/>
        <v>3000001063</v>
      </c>
      <c r="F1066">
        <v>3</v>
      </c>
      <c r="J1066">
        <f t="shared" si="33"/>
        <v>20000001062</v>
      </c>
      <c r="K1066">
        <v>1063</v>
      </c>
    </row>
    <row r="1067" spans="1:11" x14ac:dyDescent="0.25">
      <c r="A1067" s="8" t="s">
        <v>464</v>
      </c>
      <c r="B1067" s="8" t="s">
        <v>469</v>
      </c>
      <c r="C1067" s="8" t="s">
        <v>464</v>
      </c>
      <c r="D1067" s="8" t="s">
        <v>2497</v>
      </c>
      <c r="E1067">
        <f t="shared" si="32"/>
        <v>3000001064</v>
      </c>
      <c r="F1067">
        <v>3</v>
      </c>
      <c r="J1067">
        <f t="shared" si="33"/>
        <v>20000001063</v>
      </c>
      <c r="K1067">
        <v>1064</v>
      </c>
    </row>
    <row r="1068" spans="1:11" x14ac:dyDescent="0.25">
      <c r="A1068" s="8" t="s">
        <v>464</v>
      </c>
      <c r="B1068" s="8" t="s">
        <v>470</v>
      </c>
      <c r="C1068" s="8" t="s">
        <v>464</v>
      </c>
      <c r="D1068" s="8" t="s">
        <v>2498</v>
      </c>
      <c r="E1068">
        <f t="shared" si="32"/>
        <v>3000001065</v>
      </c>
      <c r="F1068">
        <v>3</v>
      </c>
      <c r="J1068">
        <f t="shared" si="33"/>
        <v>20000001064</v>
      </c>
      <c r="K1068">
        <v>1065</v>
      </c>
    </row>
    <row r="1069" spans="1:11" x14ac:dyDescent="0.25">
      <c r="A1069" s="8" t="s">
        <v>464</v>
      </c>
      <c r="B1069" s="8" t="s">
        <v>841</v>
      </c>
      <c r="C1069" s="8" t="s">
        <v>464</v>
      </c>
      <c r="D1069" s="8" t="s">
        <v>2499</v>
      </c>
      <c r="E1069">
        <f t="shared" si="32"/>
        <v>3000001066</v>
      </c>
      <c r="F1069">
        <v>3</v>
      </c>
      <c r="J1069">
        <f t="shared" si="33"/>
        <v>20000001065</v>
      </c>
      <c r="K1069">
        <v>1066</v>
      </c>
    </row>
    <row r="1070" spans="1:11" x14ac:dyDescent="0.25">
      <c r="A1070" s="8" t="s">
        <v>464</v>
      </c>
      <c r="B1070" s="8" t="s">
        <v>1465</v>
      </c>
      <c r="C1070" s="8" t="s">
        <v>464</v>
      </c>
      <c r="D1070" s="8" t="s">
        <v>2500</v>
      </c>
      <c r="E1070">
        <f t="shared" si="32"/>
        <v>3000001067</v>
      </c>
      <c r="F1070">
        <v>3</v>
      </c>
      <c r="J1070">
        <f t="shared" si="33"/>
        <v>20000001066</v>
      </c>
      <c r="K1070">
        <v>1067</v>
      </c>
    </row>
    <row r="1071" spans="1:11" x14ac:dyDescent="0.25">
      <c r="A1071" s="8" t="s">
        <v>464</v>
      </c>
      <c r="B1071" s="8" t="s">
        <v>1296</v>
      </c>
      <c r="C1071" s="8" t="s">
        <v>464</v>
      </c>
      <c r="D1071" s="8" t="s">
        <v>2501</v>
      </c>
      <c r="E1071">
        <f t="shared" si="32"/>
        <v>3000001068</v>
      </c>
      <c r="F1071">
        <v>3</v>
      </c>
      <c r="J1071">
        <f t="shared" si="33"/>
        <v>20000001067</v>
      </c>
      <c r="K1071">
        <v>1068</v>
      </c>
    </row>
    <row r="1072" spans="1:11" x14ac:dyDescent="0.25">
      <c r="A1072" s="8" t="s">
        <v>464</v>
      </c>
      <c r="B1072" s="8" t="s">
        <v>842</v>
      </c>
      <c r="C1072" s="8" t="s">
        <v>464</v>
      </c>
      <c r="D1072" s="8" t="s">
        <v>2502</v>
      </c>
      <c r="E1072">
        <f t="shared" si="32"/>
        <v>3000001069</v>
      </c>
      <c r="F1072">
        <v>3</v>
      </c>
      <c r="J1072">
        <f t="shared" si="33"/>
        <v>20000001068</v>
      </c>
      <c r="K1072">
        <v>1069</v>
      </c>
    </row>
    <row r="1073" spans="1:14" x14ac:dyDescent="0.25">
      <c r="A1073" s="8" t="s">
        <v>464</v>
      </c>
      <c r="B1073" s="8" t="s">
        <v>701</v>
      </c>
      <c r="C1073" s="8" t="s">
        <v>464</v>
      </c>
      <c r="D1073" s="8" t="s">
        <v>2503</v>
      </c>
      <c r="E1073">
        <f t="shared" si="32"/>
        <v>3000001070</v>
      </c>
      <c r="F1073">
        <v>3</v>
      </c>
      <c r="J1073">
        <f t="shared" si="33"/>
        <v>20000001069</v>
      </c>
      <c r="K1073">
        <v>1070</v>
      </c>
    </row>
    <row r="1074" spans="1:14" x14ac:dyDescent="0.25">
      <c r="A1074" s="8" t="s">
        <v>464</v>
      </c>
      <c r="B1074" s="8" t="s">
        <v>1297</v>
      </c>
      <c r="C1074" s="8" t="s">
        <v>464</v>
      </c>
      <c r="D1074" s="8" t="s">
        <v>2504</v>
      </c>
      <c r="E1074">
        <f t="shared" si="32"/>
        <v>3000001071</v>
      </c>
      <c r="F1074">
        <v>3</v>
      </c>
      <c r="J1074">
        <f t="shared" si="33"/>
        <v>20000001070</v>
      </c>
      <c r="K1074">
        <v>1071</v>
      </c>
    </row>
    <row r="1075" spans="1:14" x14ac:dyDescent="0.25">
      <c r="A1075" s="8" t="s">
        <v>464</v>
      </c>
      <c r="B1075" s="8" t="s">
        <v>471</v>
      </c>
      <c r="C1075" s="8" t="s">
        <v>464</v>
      </c>
      <c r="D1075" s="8" t="s">
        <v>2505</v>
      </c>
      <c r="E1075">
        <f t="shared" si="32"/>
        <v>3000001072</v>
      </c>
      <c r="F1075">
        <v>3</v>
      </c>
      <c r="J1075">
        <f t="shared" si="33"/>
        <v>20000001071</v>
      </c>
      <c r="K1075">
        <v>1072</v>
      </c>
    </row>
    <row r="1076" spans="1:14" x14ac:dyDescent="0.25">
      <c r="A1076" s="8" t="s">
        <v>464</v>
      </c>
      <c r="B1076" s="8" t="s">
        <v>1466</v>
      </c>
      <c r="C1076" s="8" t="s">
        <v>464</v>
      </c>
      <c r="D1076" s="8" t="s">
        <v>2506</v>
      </c>
      <c r="E1076">
        <f t="shared" si="32"/>
        <v>3000001073</v>
      </c>
      <c r="F1076">
        <v>3</v>
      </c>
      <c r="J1076">
        <f t="shared" si="33"/>
        <v>20000001072</v>
      </c>
      <c r="K1076">
        <v>1073</v>
      </c>
    </row>
    <row r="1077" spans="1:14" x14ac:dyDescent="0.25">
      <c r="A1077" s="8" t="s">
        <v>464</v>
      </c>
      <c r="B1077" s="8" t="s">
        <v>472</v>
      </c>
      <c r="C1077" s="8" t="s">
        <v>464</v>
      </c>
      <c r="D1077" s="8" t="s">
        <v>2507</v>
      </c>
      <c r="E1077">
        <f t="shared" si="32"/>
        <v>3000001074</v>
      </c>
      <c r="F1077">
        <v>3</v>
      </c>
      <c r="J1077">
        <f t="shared" si="33"/>
        <v>20000001073</v>
      </c>
      <c r="K1077">
        <v>1074</v>
      </c>
    </row>
    <row r="1078" spans="1:14" x14ac:dyDescent="0.25">
      <c r="A1078" s="8" t="s">
        <v>464</v>
      </c>
      <c r="B1078" s="8" t="s">
        <v>1467</v>
      </c>
      <c r="C1078" s="8" t="s">
        <v>464</v>
      </c>
      <c r="D1078" s="8" t="s">
        <v>2508</v>
      </c>
      <c r="E1078">
        <f t="shared" si="32"/>
        <v>3000001075</v>
      </c>
      <c r="F1078">
        <v>3</v>
      </c>
      <c r="J1078">
        <f t="shared" si="33"/>
        <v>20000001074</v>
      </c>
      <c r="K1078">
        <v>1075</v>
      </c>
    </row>
    <row r="1079" spans="1:14" x14ac:dyDescent="0.25">
      <c r="A1079" s="8" t="s">
        <v>464</v>
      </c>
      <c r="B1079" s="8" t="s">
        <v>473</v>
      </c>
      <c r="C1079" s="8" t="s">
        <v>464</v>
      </c>
      <c r="D1079" s="8" t="s">
        <v>2509</v>
      </c>
      <c r="E1079">
        <f t="shared" si="32"/>
        <v>3000001076</v>
      </c>
      <c r="F1079">
        <v>3</v>
      </c>
      <c r="J1079">
        <f t="shared" si="33"/>
        <v>20000001075</v>
      </c>
      <c r="K1079">
        <v>1076</v>
      </c>
    </row>
    <row r="1080" spans="1:14" x14ac:dyDescent="0.25">
      <c r="A1080" s="8" t="s">
        <v>464</v>
      </c>
      <c r="B1080" s="8" t="s">
        <v>1468</v>
      </c>
      <c r="C1080" s="8" t="s">
        <v>464</v>
      </c>
      <c r="D1080" s="8" t="s">
        <v>2510</v>
      </c>
      <c r="E1080">
        <f t="shared" si="32"/>
        <v>3000001077</v>
      </c>
      <c r="F1080">
        <v>3</v>
      </c>
      <c r="J1080">
        <f t="shared" si="33"/>
        <v>20000001076</v>
      </c>
      <c r="K1080">
        <v>1077</v>
      </c>
    </row>
    <row r="1081" spans="1:14" x14ac:dyDescent="0.25">
      <c r="A1081" s="8" t="s">
        <v>464</v>
      </c>
      <c r="B1081" s="8" t="s">
        <v>474</v>
      </c>
      <c r="C1081" s="8" t="s">
        <v>464</v>
      </c>
      <c r="D1081" s="8" t="s">
        <v>2511</v>
      </c>
      <c r="E1081">
        <f t="shared" si="32"/>
        <v>3000001078</v>
      </c>
      <c r="F1081">
        <v>3</v>
      </c>
      <c r="J1081">
        <f t="shared" si="33"/>
        <v>20000001077</v>
      </c>
      <c r="K1081">
        <v>1078</v>
      </c>
    </row>
    <row r="1082" spans="1:14" x14ac:dyDescent="0.25">
      <c r="A1082" s="8" t="s">
        <v>464</v>
      </c>
      <c r="B1082" s="8" t="s">
        <v>475</v>
      </c>
      <c r="C1082" s="8" t="s">
        <v>464</v>
      </c>
      <c r="D1082" s="8" t="s">
        <v>2512</v>
      </c>
      <c r="E1082">
        <f t="shared" si="32"/>
        <v>3000001079</v>
      </c>
      <c r="F1082">
        <v>3</v>
      </c>
      <c r="J1082">
        <f t="shared" si="33"/>
        <v>20000001078</v>
      </c>
      <c r="K1082">
        <v>1079</v>
      </c>
    </row>
    <row r="1083" spans="1:14" x14ac:dyDescent="0.25">
      <c r="A1083" s="8" t="s">
        <v>464</v>
      </c>
      <c r="B1083" s="8" t="s">
        <v>1298</v>
      </c>
      <c r="C1083" s="8" t="s">
        <v>464</v>
      </c>
      <c r="D1083" s="8" t="s">
        <v>2513</v>
      </c>
      <c r="E1083">
        <f t="shared" si="32"/>
        <v>3000001080</v>
      </c>
      <c r="F1083">
        <v>3</v>
      </c>
      <c r="J1083">
        <f t="shared" si="33"/>
        <v>20000001079</v>
      </c>
      <c r="K1083">
        <v>1080</v>
      </c>
    </row>
    <row r="1084" spans="1:14" x14ac:dyDescent="0.25">
      <c r="A1084" s="8" t="s">
        <v>464</v>
      </c>
      <c r="B1084" s="8" t="s">
        <v>843</v>
      </c>
      <c r="C1084" s="8" t="s">
        <v>464</v>
      </c>
      <c r="D1084" s="8" t="s">
        <v>2514</v>
      </c>
      <c r="E1084">
        <f t="shared" si="32"/>
        <v>3000001081</v>
      </c>
      <c r="F1084">
        <v>3</v>
      </c>
      <c r="J1084">
        <f t="shared" si="33"/>
        <v>20000001080</v>
      </c>
      <c r="K1084">
        <v>1081</v>
      </c>
      <c r="M1084">
        <v>100</v>
      </c>
      <c r="N1084">
        <v>100</v>
      </c>
    </row>
    <row r="1085" spans="1:14" x14ac:dyDescent="0.25">
      <c r="A1085" s="8" t="s">
        <v>476</v>
      </c>
      <c r="B1085" s="8" t="s">
        <v>1469</v>
      </c>
      <c r="C1085" s="8" t="s">
        <v>476</v>
      </c>
      <c r="D1085" s="8" t="s">
        <v>2515</v>
      </c>
      <c r="E1085">
        <f t="shared" si="32"/>
        <v>2000001082</v>
      </c>
      <c r="F1085">
        <v>2</v>
      </c>
      <c r="J1085">
        <f t="shared" si="33"/>
        <v>20000001081</v>
      </c>
      <c r="K1085">
        <v>1082</v>
      </c>
      <c r="M1085">
        <v>50</v>
      </c>
      <c r="N1085">
        <v>50</v>
      </c>
    </row>
    <row r="1086" spans="1:14" x14ac:dyDescent="0.25">
      <c r="A1086" s="8" t="s">
        <v>476</v>
      </c>
      <c r="B1086" s="8" t="s">
        <v>1299</v>
      </c>
      <c r="C1086" s="8" t="s">
        <v>476</v>
      </c>
      <c r="D1086" s="8" t="s">
        <v>2516</v>
      </c>
      <c r="E1086">
        <f t="shared" si="32"/>
        <v>2000001083</v>
      </c>
      <c r="F1086">
        <v>2</v>
      </c>
      <c r="J1086">
        <f t="shared" si="33"/>
        <v>20000001082</v>
      </c>
      <c r="K1086">
        <v>1083</v>
      </c>
    </row>
    <row r="1087" spans="1:14" x14ac:dyDescent="0.25">
      <c r="A1087" s="8" t="s">
        <v>907</v>
      </c>
      <c r="B1087" s="8" t="s">
        <v>620</v>
      </c>
      <c r="C1087" s="8" t="s">
        <v>907</v>
      </c>
      <c r="D1087" s="8" t="s">
        <v>2517</v>
      </c>
      <c r="E1087">
        <f t="shared" si="32"/>
        <v>6000001084</v>
      </c>
      <c r="F1087">
        <v>6</v>
      </c>
      <c r="J1087">
        <f t="shared" si="33"/>
        <v>20000001083</v>
      </c>
      <c r="K1087">
        <v>1084</v>
      </c>
    </row>
    <row r="1088" spans="1:14" x14ac:dyDescent="0.25">
      <c r="A1088" s="8" t="s">
        <v>907</v>
      </c>
      <c r="B1088" s="8" t="s">
        <v>621</v>
      </c>
      <c r="C1088" s="8" t="s">
        <v>907</v>
      </c>
      <c r="D1088" s="8" t="s">
        <v>2518</v>
      </c>
      <c r="E1088">
        <f t="shared" si="32"/>
        <v>6000001085</v>
      </c>
      <c r="F1088">
        <v>6</v>
      </c>
      <c r="J1088">
        <f t="shared" si="33"/>
        <v>20000001084</v>
      </c>
      <c r="K1088">
        <v>1085</v>
      </c>
    </row>
    <row r="1089" spans="1:11" x14ac:dyDescent="0.25">
      <c r="A1089" s="8" t="s">
        <v>844</v>
      </c>
      <c r="B1089" s="8" t="s">
        <v>992</v>
      </c>
      <c r="C1089" s="8" t="s">
        <v>844</v>
      </c>
      <c r="D1089" s="8" t="s">
        <v>2519</v>
      </c>
      <c r="E1089">
        <f t="shared" si="32"/>
        <v>2000001086</v>
      </c>
      <c r="F1089">
        <v>2</v>
      </c>
      <c r="J1089">
        <f t="shared" si="33"/>
        <v>20000001085</v>
      </c>
      <c r="K1089">
        <v>1086</v>
      </c>
    </row>
    <row r="1090" spans="1:11" x14ac:dyDescent="0.25">
      <c r="A1090" s="8" t="s">
        <v>481</v>
      </c>
      <c r="B1090" s="8" t="s">
        <v>845</v>
      </c>
      <c r="C1090" s="8" t="s">
        <v>481</v>
      </c>
      <c r="D1090" s="8" t="s">
        <v>2520</v>
      </c>
      <c r="E1090">
        <f t="shared" si="32"/>
        <v>6000001087</v>
      </c>
      <c r="F1090">
        <v>6</v>
      </c>
      <c r="J1090">
        <f t="shared" si="33"/>
        <v>20000001086</v>
      </c>
      <c r="K1090">
        <v>1087</v>
      </c>
    </row>
    <row r="1091" spans="1:11" x14ac:dyDescent="0.25">
      <c r="A1091" s="8" t="s">
        <v>481</v>
      </c>
      <c r="B1091" s="8" t="s">
        <v>482</v>
      </c>
      <c r="C1091" s="8" t="s">
        <v>481</v>
      </c>
      <c r="D1091" s="8" t="s">
        <v>2521</v>
      </c>
      <c r="E1091">
        <f t="shared" si="32"/>
        <v>6000001088</v>
      </c>
      <c r="F1091">
        <v>6</v>
      </c>
      <c r="J1091">
        <f t="shared" si="33"/>
        <v>20000001087</v>
      </c>
      <c r="K1091">
        <v>1088</v>
      </c>
    </row>
    <row r="1092" spans="1:11" x14ac:dyDescent="0.25">
      <c r="A1092" s="8" t="s">
        <v>481</v>
      </c>
      <c r="B1092" s="8" t="s">
        <v>483</v>
      </c>
      <c r="C1092" s="8" t="s">
        <v>481</v>
      </c>
      <c r="D1092" s="8" t="s">
        <v>2522</v>
      </c>
      <c r="E1092">
        <f t="shared" si="32"/>
        <v>6000001089</v>
      </c>
      <c r="F1092">
        <v>6</v>
      </c>
      <c r="J1092">
        <f t="shared" si="33"/>
        <v>20000001088</v>
      </c>
      <c r="K1092">
        <v>1089</v>
      </c>
    </row>
    <row r="1093" spans="1:11" x14ac:dyDescent="0.25">
      <c r="A1093" s="8" t="s">
        <v>481</v>
      </c>
      <c r="B1093" s="8" t="s">
        <v>1300</v>
      </c>
      <c r="C1093" s="8" t="s">
        <v>481</v>
      </c>
      <c r="D1093" s="8" t="s">
        <v>2523</v>
      </c>
      <c r="E1093">
        <f t="shared" ref="E1093:E1140" si="34">IF(F1093="",J1093,IF(G1093="",F1093*$F$2+K1093,IF(H1093="",F1093*$F$2+G1093*$G$2+K1093,IF(I1093="",F1093*$F$2+G1093*$G$2+H1093*$H$2+K1093,F1093*$F$2+G1093*$G$2+H1093*$H$2+I1093*$I$2+K1093))))</f>
        <v>6000001090</v>
      </c>
      <c r="F1093">
        <v>6</v>
      </c>
      <c r="J1093">
        <f t="shared" si="33"/>
        <v>20000001089</v>
      </c>
      <c r="K1093">
        <v>1090</v>
      </c>
    </row>
    <row r="1094" spans="1:11" x14ac:dyDescent="0.25">
      <c r="A1094" s="8" t="s">
        <v>481</v>
      </c>
      <c r="B1094" s="8" t="s">
        <v>484</v>
      </c>
      <c r="C1094" s="8" t="s">
        <v>481</v>
      </c>
      <c r="D1094" s="8" t="s">
        <v>2524</v>
      </c>
      <c r="E1094">
        <f t="shared" si="34"/>
        <v>6000001091</v>
      </c>
      <c r="F1094">
        <v>6</v>
      </c>
      <c r="J1094">
        <f t="shared" si="33"/>
        <v>20000001090</v>
      </c>
      <c r="K1094">
        <v>1091</v>
      </c>
    </row>
    <row r="1095" spans="1:11" x14ac:dyDescent="0.25">
      <c r="A1095" s="8" t="s">
        <v>481</v>
      </c>
      <c r="B1095" s="8" t="s">
        <v>485</v>
      </c>
      <c r="C1095" s="8" t="s">
        <v>481</v>
      </c>
      <c r="D1095" s="8" t="s">
        <v>2525</v>
      </c>
      <c r="E1095">
        <f t="shared" si="34"/>
        <v>6000001092</v>
      </c>
      <c r="F1095">
        <v>6</v>
      </c>
      <c r="J1095">
        <f t="shared" si="33"/>
        <v>20000001091</v>
      </c>
      <c r="K1095">
        <v>1092</v>
      </c>
    </row>
    <row r="1096" spans="1:11" x14ac:dyDescent="0.25">
      <c r="A1096" s="8" t="s">
        <v>481</v>
      </c>
      <c r="B1096" s="8" t="s">
        <v>486</v>
      </c>
      <c r="C1096" s="8" t="s">
        <v>481</v>
      </c>
      <c r="D1096" s="8" t="s">
        <v>2524</v>
      </c>
      <c r="E1096">
        <f t="shared" si="34"/>
        <v>6000001093</v>
      </c>
      <c r="F1096">
        <v>6</v>
      </c>
      <c r="J1096">
        <f t="shared" si="33"/>
        <v>20000001092</v>
      </c>
      <c r="K1096">
        <v>1093</v>
      </c>
    </row>
    <row r="1097" spans="1:11" x14ac:dyDescent="0.25">
      <c r="A1097" s="8" t="s">
        <v>481</v>
      </c>
      <c r="B1097" s="8" t="s">
        <v>1301</v>
      </c>
      <c r="C1097" s="8" t="s">
        <v>481</v>
      </c>
      <c r="D1097" s="8" t="s">
        <v>2526</v>
      </c>
      <c r="E1097">
        <f t="shared" si="34"/>
        <v>6000001094</v>
      </c>
      <c r="F1097">
        <v>6</v>
      </c>
      <c r="J1097">
        <f t="shared" ref="J1097:J1160" si="35">J1096+1</f>
        <v>20000001093</v>
      </c>
      <c r="K1097">
        <v>1094</v>
      </c>
    </row>
    <row r="1098" spans="1:11" x14ac:dyDescent="0.25">
      <c r="A1098" s="8" t="s">
        <v>481</v>
      </c>
      <c r="B1098" s="8" t="s">
        <v>487</v>
      </c>
      <c r="C1098" s="8" t="s">
        <v>481</v>
      </c>
      <c r="D1098" s="8" t="s">
        <v>2527</v>
      </c>
      <c r="E1098">
        <f t="shared" si="34"/>
        <v>6000001095</v>
      </c>
      <c r="F1098">
        <v>6</v>
      </c>
      <c r="J1098">
        <f t="shared" si="35"/>
        <v>20000001094</v>
      </c>
      <c r="K1098">
        <v>1095</v>
      </c>
    </row>
    <row r="1099" spans="1:11" x14ac:dyDescent="0.25">
      <c r="A1099" s="8" t="s">
        <v>481</v>
      </c>
      <c r="B1099" s="8" t="s">
        <v>488</v>
      </c>
      <c r="C1099" s="8" t="s">
        <v>481</v>
      </c>
      <c r="D1099" s="8" t="s">
        <v>2527</v>
      </c>
      <c r="E1099">
        <f t="shared" si="34"/>
        <v>6000001096</v>
      </c>
      <c r="F1099">
        <v>6</v>
      </c>
      <c r="J1099">
        <f t="shared" si="35"/>
        <v>20000001095</v>
      </c>
      <c r="K1099">
        <v>1096</v>
      </c>
    </row>
    <row r="1100" spans="1:11" x14ac:dyDescent="0.25">
      <c r="A1100" s="8" t="s">
        <v>481</v>
      </c>
      <c r="B1100" s="8" t="s">
        <v>489</v>
      </c>
      <c r="C1100" s="8" t="s">
        <v>481</v>
      </c>
      <c r="D1100" s="8" t="s">
        <v>2528</v>
      </c>
      <c r="E1100">
        <f t="shared" si="34"/>
        <v>6000001097</v>
      </c>
      <c r="F1100">
        <v>6</v>
      </c>
      <c r="J1100">
        <f t="shared" si="35"/>
        <v>20000001096</v>
      </c>
      <c r="K1100">
        <v>1097</v>
      </c>
    </row>
    <row r="1101" spans="1:11" x14ac:dyDescent="0.25">
      <c r="A1101" s="8" t="s">
        <v>481</v>
      </c>
      <c r="B1101" s="8" t="s">
        <v>490</v>
      </c>
      <c r="C1101" s="8" t="s">
        <v>481</v>
      </c>
      <c r="D1101" s="8" t="s">
        <v>2529</v>
      </c>
      <c r="E1101">
        <f t="shared" si="34"/>
        <v>6000001098</v>
      </c>
      <c r="F1101">
        <v>6</v>
      </c>
      <c r="J1101">
        <f t="shared" si="35"/>
        <v>20000001097</v>
      </c>
      <c r="K1101">
        <v>1098</v>
      </c>
    </row>
    <row r="1102" spans="1:11" x14ac:dyDescent="0.25">
      <c r="A1102" s="8" t="s">
        <v>481</v>
      </c>
      <c r="B1102" s="8" t="s">
        <v>491</v>
      </c>
      <c r="C1102" s="8" t="s">
        <v>481</v>
      </c>
      <c r="D1102" s="8" t="s">
        <v>2530</v>
      </c>
      <c r="E1102">
        <f t="shared" si="34"/>
        <v>6000001099</v>
      </c>
      <c r="F1102">
        <v>6</v>
      </c>
      <c r="J1102">
        <f t="shared" si="35"/>
        <v>20000001098</v>
      </c>
      <c r="K1102">
        <v>1099</v>
      </c>
    </row>
    <row r="1103" spans="1:11" x14ac:dyDescent="0.25">
      <c r="A1103" s="8" t="s">
        <v>481</v>
      </c>
      <c r="B1103" s="8" t="s">
        <v>702</v>
      </c>
      <c r="C1103" s="8" t="s">
        <v>481</v>
      </c>
      <c r="D1103" s="8" t="s">
        <v>2531</v>
      </c>
      <c r="E1103">
        <f t="shared" si="34"/>
        <v>6000001100</v>
      </c>
      <c r="F1103">
        <v>6</v>
      </c>
      <c r="J1103">
        <f t="shared" si="35"/>
        <v>20000001099</v>
      </c>
      <c r="K1103">
        <v>1100</v>
      </c>
    </row>
    <row r="1104" spans="1:11" x14ac:dyDescent="0.25">
      <c r="A1104" s="8" t="s">
        <v>481</v>
      </c>
      <c r="B1104" s="8" t="s">
        <v>492</v>
      </c>
      <c r="C1104" s="8" t="s">
        <v>481</v>
      </c>
      <c r="D1104" s="8" t="s">
        <v>2532</v>
      </c>
      <c r="E1104">
        <f t="shared" si="34"/>
        <v>6000001101</v>
      </c>
      <c r="F1104">
        <v>6</v>
      </c>
      <c r="J1104">
        <f t="shared" si="35"/>
        <v>20000001100</v>
      </c>
      <c r="K1104">
        <v>1101</v>
      </c>
    </row>
    <row r="1105" spans="1:11" x14ac:dyDescent="0.25">
      <c r="A1105" s="8" t="s">
        <v>481</v>
      </c>
      <c r="B1105" s="8" t="s">
        <v>703</v>
      </c>
      <c r="C1105" s="8" t="s">
        <v>481</v>
      </c>
      <c r="D1105" s="8" t="s">
        <v>2533</v>
      </c>
      <c r="E1105">
        <f t="shared" si="34"/>
        <v>6000001102</v>
      </c>
      <c r="F1105">
        <v>6</v>
      </c>
      <c r="J1105">
        <f t="shared" si="35"/>
        <v>20000001101</v>
      </c>
      <c r="K1105">
        <v>1102</v>
      </c>
    </row>
    <row r="1106" spans="1:11" x14ac:dyDescent="0.25">
      <c r="A1106" s="8" t="s">
        <v>481</v>
      </c>
      <c r="B1106" s="8" t="s">
        <v>493</v>
      </c>
      <c r="C1106" s="8" t="s">
        <v>481</v>
      </c>
      <c r="D1106" s="8" t="s">
        <v>2534</v>
      </c>
      <c r="E1106">
        <f t="shared" si="34"/>
        <v>6000001103</v>
      </c>
      <c r="F1106">
        <v>6</v>
      </c>
      <c r="J1106">
        <f t="shared" si="35"/>
        <v>20000001102</v>
      </c>
      <c r="K1106">
        <v>1103</v>
      </c>
    </row>
    <row r="1107" spans="1:11" x14ac:dyDescent="0.25">
      <c r="A1107" s="8" t="s">
        <v>481</v>
      </c>
      <c r="B1107" s="8" t="s">
        <v>908</v>
      </c>
      <c r="C1107" s="8" t="s">
        <v>481</v>
      </c>
      <c r="D1107" s="8" t="s">
        <v>2535</v>
      </c>
      <c r="E1107">
        <f t="shared" si="34"/>
        <v>6000001104</v>
      </c>
      <c r="F1107">
        <v>6</v>
      </c>
      <c r="J1107">
        <f t="shared" si="35"/>
        <v>20000001103</v>
      </c>
      <c r="K1107">
        <v>1104</v>
      </c>
    </row>
    <row r="1108" spans="1:11" x14ac:dyDescent="0.25">
      <c r="A1108" s="8" t="s">
        <v>481</v>
      </c>
      <c r="B1108" s="8" t="s">
        <v>494</v>
      </c>
      <c r="C1108" s="8" t="s">
        <v>481</v>
      </c>
      <c r="D1108" s="8" t="s">
        <v>2536</v>
      </c>
      <c r="E1108">
        <f t="shared" si="34"/>
        <v>6000001105</v>
      </c>
      <c r="F1108">
        <v>6</v>
      </c>
      <c r="J1108">
        <f t="shared" si="35"/>
        <v>20000001104</v>
      </c>
      <c r="K1108">
        <v>1105</v>
      </c>
    </row>
    <row r="1109" spans="1:11" x14ac:dyDescent="0.25">
      <c r="A1109" s="8" t="s">
        <v>481</v>
      </c>
      <c r="B1109" s="8" t="s">
        <v>495</v>
      </c>
      <c r="C1109" s="8" t="s">
        <v>481</v>
      </c>
      <c r="D1109" s="8" t="s">
        <v>2537</v>
      </c>
      <c r="E1109">
        <f t="shared" si="34"/>
        <v>6000001106</v>
      </c>
      <c r="F1109">
        <v>6</v>
      </c>
      <c r="J1109">
        <f t="shared" si="35"/>
        <v>20000001105</v>
      </c>
      <c r="K1109">
        <v>1106</v>
      </c>
    </row>
    <row r="1110" spans="1:11" x14ac:dyDescent="0.25">
      <c r="A1110" s="8" t="s">
        <v>481</v>
      </c>
      <c r="B1110" s="8" t="s">
        <v>496</v>
      </c>
      <c r="C1110" s="8" t="s">
        <v>481</v>
      </c>
      <c r="D1110" s="8" t="s">
        <v>2538</v>
      </c>
      <c r="E1110">
        <f t="shared" si="34"/>
        <v>6000001107</v>
      </c>
      <c r="F1110">
        <v>6</v>
      </c>
      <c r="J1110">
        <f t="shared" si="35"/>
        <v>20000001106</v>
      </c>
      <c r="K1110">
        <v>1107</v>
      </c>
    </row>
    <row r="1111" spans="1:11" x14ac:dyDescent="0.25">
      <c r="A1111" s="8" t="s">
        <v>481</v>
      </c>
      <c r="B1111" s="8" t="s">
        <v>497</v>
      </c>
      <c r="C1111" s="8" t="s">
        <v>481</v>
      </c>
      <c r="D1111" s="8" t="s">
        <v>2539</v>
      </c>
      <c r="E1111">
        <f t="shared" si="34"/>
        <v>6000001108</v>
      </c>
      <c r="F1111">
        <v>6</v>
      </c>
      <c r="J1111">
        <f t="shared" si="35"/>
        <v>20000001107</v>
      </c>
      <c r="K1111">
        <v>1108</v>
      </c>
    </row>
    <row r="1112" spans="1:11" x14ac:dyDescent="0.25">
      <c r="A1112" s="8" t="s">
        <v>481</v>
      </c>
      <c r="B1112" s="8" t="s">
        <v>498</v>
      </c>
      <c r="C1112" s="8" t="s">
        <v>481</v>
      </c>
      <c r="D1112" s="8" t="s">
        <v>2536</v>
      </c>
      <c r="E1112">
        <f t="shared" si="34"/>
        <v>6000001109</v>
      </c>
      <c r="F1112">
        <v>6</v>
      </c>
      <c r="J1112">
        <f t="shared" si="35"/>
        <v>20000001108</v>
      </c>
      <c r="K1112">
        <v>1109</v>
      </c>
    </row>
    <row r="1113" spans="1:11" x14ac:dyDescent="0.25">
      <c r="A1113" s="8" t="s">
        <v>481</v>
      </c>
      <c r="B1113" s="8" t="s">
        <v>499</v>
      </c>
      <c r="C1113" s="8" t="s">
        <v>481</v>
      </c>
      <c r="D1113" s="8" t="s">
        <v>2540</v>
      </c>
      <c r="E1113">
        <f t="shared" si="34"/>
        <v>6000001110</v>
      </c>
      <c r="F1113">
        <v>6</v>
      </c>
      <c r="J1113">
        <f t="shared" si="35"/>
        <v>20000001109</v>
      </c>
      <c r="K1113">
        <v>1110</v>
      </c>
    </row>
    <row r="1114" spans="1:11" x14ac:dyDescent="0.25">
      <c r="A1114" s="8" t="s">
        <v>481</v>
      </c>
      <c r="B1114" s="8" t="s">
        <v>500</v>
      </c>
      <c r="C1114" s="8" t="s">
        <v>481</v>
      </c>
      <c r="D1114" s="8" t="s">
        <v>2541</v>
      </c>
      <c r="E1114">
        <f t="shared" si="34"/>
        <v>6000001111</v>
      </c>
      <c r="F1114">
        <v>6</v>
      </c>
      <c r="J1114">
        <f t="shared" si="35"/>
        <v>20000001110</v>
      </c>
      <c r="K1114">
        <v>1111</v>
      </c>
    </row>
    <row r="1115" spans="1:11" x14ac:dyDescent="0.25">
      <c r="A1115" s="8" t="s">
        <v>481</v>
      </c>
      <c r="B1115" s="8" t="s">
        <v>501</v>
      </c>
      <c r="C1115" s="8" t="s">
        <v>481</v>
      </c>
      <c r="D1115" s="8" t="s">
        <v>2542</v>
      </c>
      <c r="E1115">
        <f t="shared" si="34"/>
        <v>6000001112</v>
      </c>
      <c r="F1115">
        <v>6</v>
      </c>
      <c r="J1115">
        <f t="shared" si="35"/>
        <v>20000001111</v>
      </c>
      <c r="K1115">
        <v>1112</v>
      </c>
    </row>
    <row r="1116" spans="1:11" x14ac:dyDescent="0.25">
      <c r="A1116" s="8" t="s">
        <v>481</v>
      </c>
      <c r="B1116" s="8" t="s">
        <v>502</v>
      </c>
      <c r="C1116" s="8" t="s">
        <v>481</v>
      </c>
      <c r="D1116" s="8" t="s">
        <v>2543</v>
      </c>
      <c r="E1116">
        <f t="shared" si="34"/>
        <v>6000001113</v>
      </c>
      <c r="F1116">
        <v>6</v>
      </c>
      <c r="J1116">
        <f t="shared" si="35"/>
        <v>20000001112</v>
      </c>
      <c r="K1116">
        <v>1113</v>
      </c>
    </row>
    <row r="1117" spans="1:11" x14ac:dyDescent="0.25">
      <c r="A1117" s="8" t="s">
        <v>481</v>
      </c>
      <c r="B1117" s="8" t="s">
        <v>503</v>
      </c>
      <c r="C1117" s="8" t="s">
        <v>481</v>
      </c>
      <c r="D1117" s="8" t="s">
        <v>2536</v>
      </c>
      <c r="E1117">
        <f t="shared" si="34"/>
        <v>6000001114</v>
      </c>
      <c r="F1117">
        <v>6</v>
      </c>
      <c r="J1117">
        <f t="shared" si="35"/>
        <v>20000001113</v>
      </c>
      <c r="K1117">
        <v>1114</v>
      </c>
    </row>
    <row r="1118" spans="1:11" x14ac:dyDescent="0.25">
      <c r="A1118" s="8" t="s">
        <v>481</v>
      </c>
      <c r="B1118" s="8" t="s">
        <v>504</v>
      </c>
      <c r="C1118" s="8" t="s">
        <v>481</v>
      </c>
      <c r="D1118" s="8" t="s">
        <v>2536</v>
      </c>
      <c r="E1118">
        <f t="shared" si="34"/>
        <v>6000001115</v>
      </c>
      <c r="F1118">
        <v>6</v>
      </c>
      <c r="J1118">
        <f t="shared" si="35"/>
        <v>20000001114</v>
      </c>
      <c r="K1118">
        <v>1115</v>
      </c>
    </row>
    <row r="1119" spans="1:11" x14ac:dyDescent="0.25">
      <c r="A1119" s="8" t="s">
        <v>481</v>
      </c>
      <c r="B1119" s="8" t="s">
        <v>505</v>
      </c>
      <c r="C1119" s="8" t="s">
        <v>481</v>
      </c>
      <c r="D1119" s="8" t="s">
        <v>2536</v>
      </c>
      <c r="E1119">
        <f t="shared" si="34"/>
        <v>6000001116</v>
      </c>
      <c r="F1119">
        <v>6</v>
      </c>
      <c r="J1119">
        <f t="shared" si="35"/>
        <v>20000001115</v>
      </c>
      <c r="K1119">
        <v>1116</v>
      </c>
    </row>
    <row r="1120" spans="1:11" x14ac:dyDescent="0.25">
      <c r="A1120" s="8" t="s">
        <v>481</v>
      </c>
      <c r="B1120" s="8" t="s">
        <v>506</v>
      </c>
      <c r="C1120" s="8" t="s">
        <v>481</v>
      </c>
      <c r="D1120" s="8" t="s">
        <v>2536</v>
      </c>
      <c r="E1120">
        <f t="shared" si="34"/>
        <v>6000001117</v>
      </c>
      <c r="F1120">
        <v>6</v>
      </c>
      <c r="J1120">
        <f t="shared" si="35"/>
        <v>20000001116</v>
      </c>
      <c r="K1120">
        <v>1117</v>
      </c>
    </row>
    <row r="1121" spans="1:11" x14ac:dyDescent="0.25">
      <c r="A1121" s="8" t="s">
        <v>481</v>
      </c>
      <c r="B1121" s="8" t="s">
        <v>507</v>
      </c>
      <c r="C1121" s="8" t="s">
        <v>481</v>
      </c>
      <c r="D1121" s="8" t="s">
        <v>2536</v>
      </c>
      <c r="E1121">
        <f t="shared" si="34"/>
        <v>6000001118</v>
      </c>
      <c r="F1121">
        <v>6</v>
      </c>
      <c r="J1121">
        <f t="shared" si="35"/>
        <v>20000001117</v>
      </c>
      <c r="K1121">
        <v>1118</v>
      </c>
    </row>
    <row r="1122" spans="1:11" x14ac:dyDescent="0.25">
      <c r="A1122" s="8" t="s">
        <v>481</v>
      </c>
      <c r="B1122" s="8" t="s">
        <v>508</v>
      </c>
      <c r="C1122" s="8" t="s">
        <v>481</v>
      </c>
      <c r="D1122" s="8" t="s">
        <v>2544</v>
      </c>
      <c r="E1122">
        <f t="shared" si="34"/>
        <v>6000001119</v>
      </c>
      <c r="F1122">
        <v>6</v>
      </c>
      <c r="J1122">
        <f t="shared" si="35"/>
        <v>20000001118</v>
      </c>
      <c r="K1122">
        <v>1119</v>
      </c>
    </row>
    <row r="1123" spans="1:11" x14ac:dyDescent="0.25">
      <c r="A1123" s="8" t="s">
        <v>481</v>
      </c>
      <c r="B1123" s="8" t="s">
        <v>1302</v>
      </c>
      <c r="C1123" s="8" t="s">
        <v>481</v>
      </c>
      <c r="D1123" s="8" t="s">
        <v>2545</v>
      </c>
      <c r="E1123">
        <f t="shared" si="34"/>
        <v>6000001120</v>
      </c>
      <c r="F1123">
        <v>6</v>
      </c>
      <c r="J1123">
        <f t="shared" si="35"/>
        <v>20000001119</v>
      </c>
      <c r="K1123">
        <v>1120</v>
      </c>
    </row>
    <row r="1124" spans="1:11" x14ac:dyDescent="0.25">
      <c r="A1124" s="8" t="s">
        <v>481</v>
      </c>
      <c r="B1124" s="8" t="s">
        <v>1303</v>
      </c>
      <c r="C1124" s="8" t="s">
        <v>481</v>
      </c>
      <c r="D1124" s="8" t="s">
        <v>2546</v>
      </c>
      <c r="E1124">
        <f t="shared" si="34"/>
        <v>6000001121</v>
      </c>
      <c r="F1124">
        <v>6</v>
      </c>
      <c r="J1124">
        <f t="shared" si="35"/>
        <v>20000001120</v>
      </c>
      <c r="K1124">
        <v>1121</v>
      </c>
    </row>
    <row r="1125" spans="1:11" x14ac:dyDescent="0.25">
      <c r="A1125" s="8" t="s">
        <v>481</v>
      </c>
      <c r="B1125" s="8" t="s">
        <v>509</v>
      </c>
      <c r="C1125" s="8" t="s">
        <v>481</v>
      </c>
      <c r="D1125" s="8" t="s">
        <v>2547</v>
      </c>
      <c r="E1125">
        <f t="shared" si="34"/>
        <v>6000001122</v>
      </c>
      <c r="F1125">
        <v>6</v>
      </c>
      <c r="J1125">
        <f t="shared" si="35"/>
        <v>20000001121</v>
      </c>
      <c r="K1125">
        <v>1122</v>
      </c>
    </row>
    <row r="1126" spans="1:11" x14ac:dyDescent="0.25">
      <c r="A1126" s="8" t="s">
        <v>481</v>
      </c>
      <c r="B1126" s="8" t="s">
        <v>510</v>
      </c>
      <c r="C1126" s="8" t="s">
        <v>481</v>
      </c>
      <c r="D1126" s="8" t="s">
        <v>2547</v>
      </c>
      <c r="E1126">
        <f t="shared" si="34"/>
        <v>6000001123</v>
      </c>
      <c r="F1126">
        <v>6</v>
      </c>
      <c r="J1126">
        <f t="shared" si="35"/>
        <v>20000001122</v>
      </c>
      <c r="K1126">
        <v>1123</v>
      </c>
    </row>
    <row r="1127" spans="1:11" x14ac:dyDescent="0.25">
      <c r="A1127" s="8" t="s">
        <v>481</v>
      </c>
      <c r="B1127" s="8" t="s">
        <v>511</v>
      </c>
      <c r="C1127" s="8" t="s">
        <v>481</v>
      </c>
      <c r="D1127" s="8" t="s">
        <v>2548</v>
      </c>
      <c r="E1127">
        <f t="shared" si="34"/>
        <v>6000001124</v>
      </c>
      <c r="F1127">
        <v>6</v>
      </c>
      <c r="J1127">
        <f t="shared" si="35"/>
        <v>20000001123</v>
      </c>
      <c r="K1127">
        <v>1124</v>
      </c>
    </row>
    <row r="1128" spans="1:11" x14ac:dyDescent="0.25">
      <c r="A1128" s="8" t="s">
        <v>481</v>
      </c>
      <c r="B1128" s="8" t="s">
        <v>512</v>
      </c>
      <c r="C1128" s="8" t="s">
        <v>481</v>
      </c>
      <c r="D1128" s="8" t="s">
        <v>2549</v>
      </c>
      <c r="E1128">
        <f t="shared" si="34"/>
        <v>6000001125</v>
      </c>
      <c r="F1128">
        <v>6</v>
      </c>
      <c r="J1128">
        <f t="shared" si="35"/>
        <v>20000001124</v>
      </c>
      <c r="K1128">
        <v>1125</v>
      </c>
    </row>
    <row r="1129" spans="1:11" x14ac:dyDescent="0.25">
      <c r="A1129" s="8" t="s">
        <v>481</v>
      </c>
      <c r="B1129" s="8" t="s">
        <v>513</v>
      </c>
      <c r="C1129" s="8" t="s">
        <v>481</v>
      </c>
      <c r="D1129" s="8" t="s">
        <v>2549</v>
      </c>
      <c r="E1129">
        <f t="shared" si="34"/>
        <v>6000001126</v>
      </c>
      <c r="F1129">
        <v>6</v>
      </c>
      <c r="J1129">
        <f t="shared" si="35"/>
        <v>20000001125</v>
      </c>
      <c r="K1129">
        <v>1126</v>
      </c>
    </row>
    <row r="1130" spans="1:11" x14ac:dyDescent="0.25">
      <c r="A1130" s="8" t="s">
        <v>481</v>
      </c>
      <c r="B1130" s="8" t="s">
        <v>514</v>
      </c>
      <c r="C1130" s="8" t="s">
        <v>481</v>
      </c>
      <c r="D1130" s="8" t="s">
        <v>2550</v>
      </c>
      <c r="E1130">
        <f t="shared" si="34"/>
        <v>6000001127</v>
      </c>
      <c r="F1130">
        <v>6</v>
      </c>
      <c r="J1130">
        <f t="shared" si="35"/>
        <v>20000001126</v>
      </c>
      <c r="K1130">
        <v>1127</v>
      </c>
    </row>
    <row r="1131" spans="1:11" x14ac:dyDescent="0.25">
      <c r="A1131" s="8" t="s">
        <v>481</v>
      </c>
      <c r="B1131" s="8" t="s">
        <v>878</v>
      </c>
      <c r="C1131" s="8" t="s">
        <v>481</v>
      </c>
      <c r="D1131" s="8" t="s">
        <v>2551</v>
      </c>
      <c r="E1131">
        <f t="shared" si="34"/>
        <v>6000001128</v>
      </c>
      <c r="F1131">
        <v>6</v>
      </c>
      <c r="J1131">
        <f t="shared" si="35"/>
        <v>20000001127</v>
      </c>
      <c r="K1131">
        <v>1128</v>
      </c>
    </row>
    <row r="1132" spans="1:11" x14ac:dyDescent="0.25">
      <c r="A1132" s="8" t="s">
        <v>481</v>
      </c>
      <c r="B1132" s="8" t="s">
        <v>515</v>
      </c>
      <c r="C1132" s="8" t="s">
        <v>481</v>
      </c>
      <c r="D1132" s="8" t="s">
        <v>2548</v>
      </c>
      <c r="E1132">
        <f t="shared" si="34"/>
        <v>6000001129</v>
      </c>
      <c r="F1132">
        <v>6</v>
      </c>
      <c r="J1132">
        <f t="shared" si="35"/>
        <v>20000001128</v>
      </c>
      <c r="K1132">
        <v>1129</v>
      </c>
    </row>
    <row r="1133" spans="1:11" x14ac:dyDescent="0.25">
      <c r="A1133" s="8" t="s">
        <v>481</v>
      </c>
      <c r="B1133" s="8" t="s">
        <v>516</v>
      </c>
      <c r="C1133" s="8" t="s">
        <v>481</v>
      </c>
      <c r="D1133" s="8" t="s">
        <v>2538</v>
      </c>
      <c r="E1133">
        <f t="shared" si="34"/>
        <v>6000001130</v>
      </c>
      <c r="F1133">
        <v>6</v>
      </c>
      <c r="J1133">
        <f t="shared" si="35"/>
        <v>20000001129</v>
      </c>
      <c r="K1133">
        <v>1130</v>
      </c>
    </row>
    <row r="1134" spans="1:11" x14ac:dyDescent="0.25">
      <c r="A1134" s="8" t="s">
        <v>481</v>
      </c>
      <c r="B1134" s="8" t="s">
        <v>517</v>
      </c>
      <c r="C1134" s="8" t="s">
        <v>481</v>
      </c>
      <c r="D1134" s="8" t="s">
        <v>2536</v>
      </c>
      <c r="E1134">
        <f t="shared" si="34"/>
        <v>6000001131</v>
      </c>
      <c r="F1134">
        <v>6</v>
      </c>
      <c r="J1134">
        <f t="shared" si="35"/>
        <v>20000001130</v>
      </c>
      <c r="K1134">
        <v>1131</v>
      </c>
    </row>
    <row r="1135" spans="1:11" x14ac:dyDescent="0.25">
      <c r="A1135" s="8" t="s">
        <v>481</v>
      </c>
      <c r="B1135" s="8" t="s">
        <v>518</v>
      </c>
      <c r="C1135" s="8" t="s">
        <v>481</v>
      </c>
      <c r="D1135" s="8" t="s">
        <v>2548</v>
      </c>
      <c r="E1135">
        <f t="shared" si="34"/>
        <v>6000001132</v>
      </c>
      <c r="F1135">
        <v>6</v>
      </c>
      <c r="J1135">
        <f t="shared" si="35"/>
        <v>20000001131</v>
      </c>
      <c r="K1135">
        <v>1132</v>
      </c>
    </row>
    <row r="1136" spans="1:11" x14ac:dyDescent="0.25">
      <c r="A1136" s="8" t="s">
        <v>481</v>
      </c>
      <c r="B1136" s="8" t="s">
        <v>519</v>
      </c>
      <c r="C1136" s="8" t="s">
        <v>481</v>
      </c>
      <c r="D1136" s="8" t="s">
        <v>2552</v>
      </c>
      <c r="E1136">
        <f t="shared" si="34"/>
        <v>6000001133</v>
      </c>
      <c r="F1136">
        <v>6</v>
      </c>
      <c r="J1136">
        <f t="shared" si="35"/>
        <v>20000001132</v>
      </c>
      <c r="K1136">
        <v>1133</v>
      </c>
    </row>
    <row r="1137" spans="1:11" x14ac:dyDescent="0.25">
      <c r="A1137" s="8" t="s">
        <v>481</v>
      </c>
      <c r="B1137" s="8" t="s">
        <v>520</v>
      </c>
      <c r="C1137" s="8" t="s">
        <v>481</v>
      </c>
      <c r="D1137" s="8" t="s">
        <v>2540</v>
      </c>
      <c r="E1137">
        <f t="shared" si="34"/>
        <v>6000001134</v>
      </c>
      <c r="F1137">
        <v>6</v>
      </c>
      <c r="J1137">
        <f t="shared" si="35"/>
        <v>20000001133</v>
      </c>
      <c r="K1137">
        <v>1134</v>
      </c>
    </row>
    <row r="1138" spans="1:11" x14ac:dyDescent="0.25">
      <c r="A1138" s="8" t="s">
        <v>481</v>
      </c>
      <c r="B1138" s="8" t="s">
        <v>521</v>
      </c>
      <c r="C1138" s="8" t="s">
        <v>481</v>
      </c>
      <c r="D1138" s="8" t="s">
        <v>2541</v>
      </c>
      <c r="E1138">
        <f t="shared" si="34"/>
        <v>6000001135</v>
      </c>
      <c r="F1138">
        <v>6</v>
      </c>
      <c r="J1138">
        <f t="shared" si="35"/>
        <v>20000001134</v>
      </c>
      <c r="K1138">
        <v>1135</v>
      </c>
    </row>
    <row r="1139" spans="1:11" x14ac:dyDescent="0.25">
      <c r="A1139" s="8" t="s">
        <v>481</v>
      </c>
      <c r="B1139" s="8" t="s">
        <v>522</v>
      </c>
      <c r="C1139" s="8" t="s">
        <v>481</v>
      </c>
      <c r="D1139" s="8" t="s">
        <v>2553</v>
      </c>
      <c r="E1139">
        <f t="shared" si="34"/>
        <v>6000001136</v>
      </c>
      <c r="F1139">
        <v>6</v>
      </c>
      <c r="J1139">
        <f t="shared" si="35"/>
        <v>20000001135</v>
      </c>
      <c r="K1139">
        <v>1136</v>
      </c>
    </row>
    <row r="1140" spans="1:11" x14ac:dyDescent="0.25">
      <c r="A1140" s="8" t="s">
        <v>481</v>
      </c>
      <c r="B1140" s="8" t="s">
        <v>523</v>
      </c>
      <c r="C1140" s="8" t="s">
        <v>481</v>
      </c>
      <c r="D1140" s="8" t="s">
        <v>2542</v>
      </c>
      <c r="E1140">
        <f t="shared" si="34"/>
        <v>6000001137</v>
      </c>
      <c r="F1140">
        <v>6</v>
      </c>
      <c r="J1140">
        <f t="shared" si="35"/>
        <v>20000001136</v>
      </c>
      <c r="K1140">
        <v>1137</v>
      </c>
    </row>
    <row r="1141" spans="1:11" x14ac:dyDescent="0.25">
      <c r="A1141" s="8" t="s">
        <v>481</v>
      </c>
      <c r="B1141" s="8" t="s">
        <v>524</v>
      </c>
      <c r="C1141" s="8" t="s">
        <v>481</v>
      </c>
      <c r="D1141" s="8" t="s">
        <v>2543</v>
      </c>
      <c r="E1141">
        <f t="shared" ref="E1141:E1172" si="36">IF(F1141="",J1141,IF(G1141="",F1141*$F$2+K1141,IF(H1141="",F1141*$F$2+G1141*$G$2+K1141,IF(I1141="",F1141*$F$2+G1141*$G$2+H1141*$H$2+K1141,F1141*$F$2+G1141*$G$2+H1141*$H$2+I1141*$I$2+K1141))))</f>
        <v>6000001138</v>
      </c>
      <c r="F1141">
        <v>6</v>
      </c>
      <c r="J1141">
        <f t="shared" si="35"/>
        <v>20000001137</v>
      </c>
      <c r="K1141">
        <v>1138</v>
      </c>
    </row>
    <row r="1142" spans="1:11" x14ac:dyDescent="0.25">
      <c r="A1142" s="8" t="s">
        <v>481</v>
      </c>
      <c r="B1142" s="8" t="s">
        <v>525</v>
      </c>
      <c r="C1142" s="8" t="s">
        <v>481</v>
      </c>
      <c r="D1142" s="8" t="s">
        <v>2554</v>
      </c>
      <c r="E1142">
        <f t="shared" si="36"/>
        <v>6000001139</v>
      </c>
      <c r="F1142">
        <v>6</v>
      </c>
      <c r="J1142">
        <f t="shared" si="35"/>
        <v>20000001138</v>
      </c>
      <c r="K1142">
        <v>1139</v>
      </c>
    </row>
    <row r="1143" spans="1:11" x14ac:dyDescent="0.25">
      <c r="A1143" s="8" t="s">
        <v>481</v>
      </c>
      <c r="B1143" s="8" t="s">
        <v>526</v>
      </c>
      <c r="C1143" s="8" t="s">
        <v>481</v>
      </c>
      <c r="D1143" s="8" t="s">
        <v>2555</v>
      </c>
      <c r="E1143">
        <f t="shared" si="36"/>
        <v>6000001140</v>
      </c>
      <c r="F1143">
        <v>6</v>
      </c>
      <c r="J1143">
        <f t="shared" si="35"/>
        <v>20000001139</v>
      </c>
      <c r="K1143">
        <v>1140</v>
      </c>
    </row>
    <row r="1144" spans="1:11" x14ac:dyDescent="0.25">
      <c r="A1144" s="8" t="s">
        <v>481</v>
      </c>
      <c r="B1144" s="8" t="s">
        <v>527</v>
      </c>
      <c r="C1144" s="8" t="s">
        <v>481</v>
      </c>
      <c r="D1144" s="8" t="s">
        <v>2536</v>
      </c>
      <c r="E1144">
        <f t="shared" si="36"/>
        <v>6000001141</v>
      </c>
      <c r="F1144">
        <v>6</v>
      </c>
      <c r="J1144">
        <f t="shared" si="35"/>
        <v>20000001140</v>
      </c>
      <c r="K1144">
        <v>1141</v>
      </c>
    </row>
    <row r="1145" spans="1:11" x14ac:dyDescent="0.25">
      <c r="A1145" s="8" t="s">
        <v>481</v>
      </c>
      <c r="B1145" s="8" t="s">
        <v>528</v>
      </c>
      <c r="C1145" s="8" t="s">
        <v>481</v>
      </c>
      <c r="D1145" s="8" t="s">
        <v>2536</v>
      </c>
      <c r="E1145">
        <f t="shared" si="36"/>
        <v>6000001142</v>
      </c>
      <c r="F1145">
        <v>6</v>
      </c>
      <c r="J1145">
        <f t="shared" si="35"/>
        <v>20000001141</v>
      </c>
      <c r="K1145">
        <v>1142</v>
      </c>
    </row>
    <row r="1146" spans="1:11" x14ac:dyDescent="0.25">
      <c r="A1146" s="8" t="s">
        <v>481</v>
      </c>
      <c r="B1146" s="8" t="s">
        <v>529</v>
      </c>
      <c r="C1146" s="8" t="s">
        <v>481</v>
      </c>
      <c r="D1146" s="8" t="s">
        <v>2536</v>
      </c>
      <c r="E1146">
        <f t="shared" si="36"/>
        <v>6000001143</v>
      </c>
      <c r="F1146">
        <v>6</v>
      </c>
      <c r="J1146">
        <f t="shared" si="35"/>
        <v>20000001142</v>
      </c>
      <c r="K1146">
        <v>1143</v>
      </c>
    </row>
    <row r="1147" spans="1:11" x14ac:dyDescent="0.25">
      <c r="A1147" s="8" t="s">
        <v>481</v>
      </c>
      <c r="B1147" s="8" t="s">
        <v>530</v>
      </c>
      <c r="C1147" s="8" t="s">
        <v>481</v>
      </c>
      <c r="D1147" s="8" t="s">
        <v>2536</v>
      </c>
      <c r="E1147">
        <f t="shared" si="36"/>
        <v>6000001144</v>
      </c>
      <c r="F1147">
        <v>6</v>
      </c>
      <c r="J1147">
        <f t="shared" si="35"/>
        <v>20000001143</v>
      </c>
      <c r="K1147">
        <v>1144</v>
      </c>
    </row>
    <row r="1148" spans="1:11" x14ac:dyDescent="0.25">
      <c r="A1148" s="8" t="s">
        <v>481</v>
      </c>
      <c r="B1148" s="8" t="s">
        <v>704</v>
      </c>
      <c r="C1148" s="8" t="s">
        <v>481</v>
      </c>
      <c r="D1148" s="8" t="s">
        <v>2556</v>
      </c>
      <c r="E1148">
        <f t="shared" si="36"/>
        <v>6000001145</v>
      </c>
      <c r="F1148">
        <v>6</v>
      </c>
      <c r="J1148">
        <f t="shared" si="35"/>
        <v>20000001144</v>
      </c>
      <c r="K1148">
        <v>1145</v>
      </c>
    </row>
    <row r="1149" spans="1:11" x14ac:dyDescent="0.25">
      <c r="A1149" s="8" t="s">
        <v>481</v>
      </c>
      <c r="B1149" s="8" t="s">
        <v>846</v>
      </c>
      <c r="C1149" s="8" t="s">
        <v>481</v>
      </c>
      <c r="D1149" s="8" t="s">
        <v>2557</v>
      </c>
      <c r="E1149">
        <f t="shared" si="36"/>
        <v>6000001146</v>
      </c>
      <c r="F1149">
        <v>6</v>
      </c>
      <c r="J1149">
        <f t="shared" si="35"/>
        <v>20000001145</v>
      </c>
      <c r="K1149">
        <v>1146</v>
      </c>
    </row>
    <row r="1150" spans="1:11" x14ac:dyDescent="0.25">
      <c r="A1150" s="8" t="s">
        <v>993</v>
      </c>
      <c r="B1150" s="8" t="s">
        <v>449</v>
      </c>
      <c r="C1150" s="8" t="s">
        <v>993</v>
      </c>
      <c r="D1150" s="8" t="s">
        <v>2558</v>
      </c>
      <c r="E1150">
        <f t="shared" si="36"/>
        <v>4000001147</v>
      </c>
      <c r="F1150">
        <v>4</v>
      </c>
      <c r="J1150">
        <f t="shared" si="35"/>
        <v>20000001146</v>
      </c>
      <c r="K1150">
        <v>1147</v>
      </c>
    </row>
    <row r="1151" spans="1:11" x14ac:dyDescent="0.25">
      <c r="A1151" s="8" t="s">
        <v>993</v>
      </c>
      <c r="B1151" s="8" t="s">
        <v>1304</v>
      </c>
      <c r="C1151" s="8" t="s">
        <v>993</v>
      </c>
      <c r="D1151" s="8" t="s">
        <v>2559</v>
      </c>
      <c r="E1151">
        <f t="shared" si="36"/>
        <v>4000001148</v>
      </c>
      <c r="F1151">
        <v>4</v>
      </c>
      <c r="J1151">
        <f t="shared" si="35"/>
        <v>20000001147</v>
      </c>
      <c r="K1151">
        <v>1148</v>
      </c>
    </row>
    <row r="1152" spans="1:11" x14ac:dyDescent="0.25">
      <c r="A1152" s="8" t="s">
        <v>993</v>
      </c>
      <c r="B1152" s="8" t="s">
        <v>450</v>
      </c>
      <c r="C1152" s="8" t="s">
        <v>993</v>
      </c>
      <c r="D1152" s="8" t="s">
        <v>2560</v>
      </c>
      <c r="E1152">
        <f t="shared" si="36"/>
        <v>4000001149</v>
      </c>
      <c r="F1152">
        <v>4</v>
      </c>
      <c r="J1152">
        <f t="shared" si="35"/>
        <v>20000001148</v>
      </c>
      <c r="K1152">
        <v>1149</v>
      </c>
    </row>
    <row r="1153" spans="1:11" x14ac:dyDescent="0.25">
      <c r="A1153" s="8" t="s">
        <v>993</v>
      </c>
      <c r="B1153" s="8" t="s">
        <v>451</v>
      </c>
      <c r="C1153" s="8" t="s">
        <v>993</v>
      </c>
      <c r="D1153" s="8" t="s">
        <v>2561</v>
      </c>
      <c r="E1153">
        <f t="shared" si="36"/>
        <v>4000001150</v>
      </c>
      <c r="F1153">
        <v>4</v>
      </c>
      <c r="J1153">
        <f t="shared" si="35"/>
        <v>20000001149</v>
      </c>
      <c r="K1153">
        <v>1150</v>
      </c>
    </row>
    <row r="1154" spans="1:11" x14ac:dyDescent="0.25">
      <c r="A1154" s="8" t="s">
        <v>993</v>
      </c>
      <c r="B1154" s="8" t="s">
        <v>1305</v>
      </c>
      <c r="C1154" s="8" t="s">
        <v>993</v>
      </c>
      <c r="D1154" s="8" t="s">
        <v>2562</v>
      </c>
      <c r="E1154">
        <f t="shared" si="36"/>
        <v>4000001151</v>
      </c>
      <c r="F1154">
        <v>4</v>
      </c>
      <c r="J1154">
        <f t="shared" si="35"/>
        <v>20000001150</v>
      </c>
      <c r="K1154">
        <v>1151</v>
      </c>
    </row>
    <row r="1155" spans="1:11" x14ac:dyDescent="0.25">
      <c r="A1155" s="8" t="s">
        <v>531</v>
      </c>
      <c r="B1155" s="8">
        <v>10247</v>
      </c>
      <c r="C1155" s="8" t="s">
        <v>531</v>
      </c>
      <c r="D1155" s="8" t="s">
        <v>2563</v>
      </c>
      <c r="E1155">
        <f t="shared" si="36"/>
        <v>2000001152</v>
      </c>
      <c r="F1155">
        <v>2</v>
      </c>
      <c r="J1155">
        <f t="shared" si="35"/>
        <v>20000001151</v>
      </c>
      <c r="K1155">
        <v>1152</v>
      </c>
    </row>
    <row r="1156" spans="1:11" x14ac:dyDescent="0.25">
      <c r="A1156" s="8" t="s">
        <v>531</v>
      </c>
      <c r="B1156" s="8">
        <v>10249</v>
      </c>
      <c r="C1156" s="8" t="s">
        <v>531</v>
      </c>
      <c r="D1156" s="8" t="s">
        <v>2564</v>
      </c>
      <c r="E1156">
        <f t="shared" si="36"/>
        <v>2000001153</v>
      </c>
      <c r="F1156">
        <v>2</v>
      </c>
      <c r="J1156">
        <f t="shared" si="35"/>
        <v>20000001152</v>
      </c>
      <c r="K1156">
        <v>1153</v>
      </c>
    </row>
    <row r="1157" spans="1:11" x14ac:dyDescent="0.25">
      <c r="A1157" s="8" t="s">
        <v>531</v>
      </c>
      <c r="B1157" s="8">
        <v>10327</v>
      </c>
      <c r="C1157" s="8" t="s">
        <v>531</v>
      </c>
      <c r="D1157" s="8" t="s">
        <v>2565</v>
      </c>
      <c r="E1157">
        <f t="shared" si="36"/>
        <v>2000001154</v>
      </c>
      <c r="F1157">
        <v>2</v>
      </c>
      <c r="J1157">
        <f t="shared" si="35"/>
        <v>20000001153</v>
      </c>
      <c r="K1157">
        <v>1154</v>
      </c>
    </row>
    <row r="1158" spans="1:11" x14ac:dyDescent="0.25">
      <c r="A1158" s="8" t="s">
        <v>531</v>
      </c>
      <c r="B1158" s="8">
        <v>10328</v>
      </c>
      <c r="C1158" s="8" t="s">
        <v>531</v>
      </c>
      <c r="D1158" s="8" t="s">
        <v>2566</v>
      </c>
      <c r="E1158">
        <f t="shared" si="36"/>
        <v>2000001155</v>
      </c>
      <c r="F1158">
        <v>2</v>
      </c>
      <c r="J1158">
        <f t="shared" si="35"/>
        <v>20000001154</v>
      </c>
      <c r="K1158">
        <v>1155</v>
      </c>
    </row>
    <row r="1159" spans="1:11" x14ac:dyDescent="0.25">
      <c r="A1159" s="8" t="s">
        <v>1029</v>
      </c>
      <c r="B1159" s="8" t="s">
        <v>1306</v>
      </c>
      <c r="C1159" s="8" t="s">
        <v>1029</v>
      </c>
      <c r="D1159" s="8" t="s">
        <v>2567</v>
      </c>
      <c r="E1159">
        <f t="shared" si="36"/>
        <v>3000001156</v>
      </c>
      <c r="F1159">
        <v>3</v>
      </c>
      <c r="J1159">
        <f t="shared" si="35"/>
        <v>20000001155</v>
      </c>
      <c r="K1159">
        <v>1156</v>
      </c>
    </row>
    <row r="1160" spans="1:11" x14ac:dyDescent="0.25">
      <c r="A1160" s="8" t="s">
        <v>1029</v>
      </c>
      <c r="B1160" s="8" t="s">
        <v>1307</v>
      </c>
      <c r="C1160" s="8" t="s">
        <v>1029</v>
      </c>
      <c r="D1160" s="8" t="s">
        <v>2568</v>
      </c>
      <c r="E1160">
        <f t="shared" si="36"/>
        <v>3000001157</v>
      </c>
      <c r="F1160">
        <v>3</v>
      </c>
      <c r="J1160">
        <f t="shared" si="35"/>
        <v>20000001156</v>
      </c>
      <c r="K1160">
        <v>1157</v>
      </c>
    </row>
    <row r="1161" spans="1:11" x14ac:dyDescent="0.25">
      <c r="A1161" s="8" t="s">
        <v>532</v>
      </c>
      <c r="B1161" s="8" t="s">
        <v>533</v>
      </c>
      <c r="C1161" s="8" t="s">
        <v>532</v>
      </c>
      <c r="D1161" s="8" t="s">
        <v>2569</v>
      </c>
      <c r="E1161">
        <f t="shared" si="36"/>
        <v>1000001158</v>
      </c>
      <c r="F1161">
        <v>1</v>
      </c>
      <c r="J1161">
        <f t="shared" ref="J1161:J1224" si="37">J1160+1</f>
        <v>20000001157</v>
      </c>
      <c r="K1161">
        <v>1158</v>
      </c>
    </row>
    <row r="1162" spans="1:11" x14ac:dyDescent="0.25">
      <c r="A1162" s="8" t="s">
        <v>532</v>
      </c>
      <c r="B1162" s="8" t="s">
        <v>847</v>
      </c>
      <c r="C1162" s="8" t="s">
        <v>532</v>
      </c>
      <c r="D1162" s="8" t="s">
        <v>2570</v>
      </c>
      <c r="E1162">
        <f t="shared" si="36"/>
        <v>1000001159</v>
      </c>
      <c r="F1162">
        <v>1</v>
      </c>
      <c r="J1162">
        <f t="shared" si="37"/>
        <v>20000001158</v>
      </c>
      <c r="K1162">
        <v>1159</v>
      </c>
    </row>
    <row r="1163" spans="1:11" x14ac:dyDescent="0.25">
      <c r="A1163" s="8" t="s">
        <v>532</v>
      </c>
      <c r="B1163" s="8" t="s">
        <v>534</v>
      </c>
      <c r="C1163" s="8" t="s">
        <v>532</v>
      </c>
      <c r="D1163" s="8" t="s">
        <v>2571</v>
      </c>
      <c r="E1163">
        <f t="shared" si="36"/>
        <v>4000001160</v>
      </c>
      <c r="F1163">
        <v>4</v>
      </c>
      <c r="J1163">
        <f t="shared" si="37"/>
        <v>20000001159</v>
      </c>
      <c r="K1163">
        <v>1160</v>
      </c>
    </row>
    <row r="1164" spans="1:11" x14ac:dyDescent="0.25">
      <c r="A1164" s="8" t="s">
        <v>532</v>
      </c>
      <c r="B1164" s="8" t="s">
        <v>1308</v>
      </c>
      <c r="C1164" s="8" t="s">
        <v>532</v>
      </c>
      <c r="D1164" s="8" t="s">
        <v>2572</v>
      </c>
      <c r="E1164">
        <f t="shared" si="36"/>
        <v>1000001161</v>
      </c>
      <c r="F1164">
        <v>1</v>
      </c>
      <c r="J1164">
        <f t="shared" si="37"/>
        <v>20000001160</v>
      </c>
      <c r="K1164">
        <v>1161</v>
      </c>
    </row>
    <row r="1165" spans="1:11" x14ac:dyDescent="0.25">
      <c r="A1165" s="8" t="s">
        <v>532</v>
      </c>
      <c r="B1165" s="8" t="s">
        <v>994</v>
      </c>
      <c r="C1165" s="8" t="s">
        <v>532</v>
      </c>
      <c r="D1165" s="8" t="s">
        <v>2573</v>
      </c>
      <c r="E1165">
        <f t="shared" si="36"/>
        <v>1000001162</v>
      </c>
      <c r="F1165">
        <v>1</v>
      </c>
      <c r="J1165">
        <f t="shared" si="37"/>
        <v>20000001161</v>
      </c>
      <c r="K1165">
        <v>1162</v>
      </c>
    </row>
    <row r="1166" spans="1:11" x14ac:dyDescent="0.25">
      <c r="A1166" s="8" t="s">
        <v>532</v>
      </c>
      <c r="B1166" s="8" t="s">
        <v>995</v>
      </c>
      <c r="C1166" s="8" t="s">
        <v>532</v>
      </c>
      <c r="D1166" s="8" t="s">
        <v>2574</v>
      </c>
      <c r="E1166">
        <f t="shared" si="36"/>
        <v>4000001163</v>
      </c>
      <c r="F1166">
        <v>4</v>
      </c>
      <c r="J1166">
        <f t="shared" si="37"/>
        <v>20000001162</v>
      </c>
      <c r="K1166">
        <v>1163</v>
      </c>
    </row>
    <row r="1167" spans="1:11" x14ac:dyDescent="0.25">
      <c r="A1167" s="8" t="s">
        <v>532</v>
      </c>
      <c r="B1167" s="8" t="s">
        <v>1309</v>
      </c>
      <c r="C1167" s="8" t="s">
        <v>532</v>
      </c>
      <c r="D1167" s="8" t="s">
        <v>2575</v>
      </c>
      <c r="E1167">
        <f t="shared" si="36"/>
        <v>4000001164</v>
      </c>
      <c r="F1167">
        <v>4</v>
      </c>
      <c r="J1167">
        <f t="shared" si="37"/>
        <v>20000001163</v>
      </c>
      <c r="K1167">
        <v>1164</v>
      </c>
    </row>
    <row r="1168" spans="1:11" x14ac:dyDescent="0.25">
      <c r="A1168" s="8" t="s">
        <v>532</v>
      </c>
      <c r="B1168" s="8" t="s">
        <v>1310</v>
      </c>
      <c r="C1168" s="8" t="s">
        <v>532</v>
      </c>
      <c r="D1168" s="8" t="s">
        <v>2576</v>
      </c>
      <c r="E1168">
        <f t="shared" si="36"/>
        <v>4000001165</v>
      </c>
      <c r="F1168">
        <v>4</v>
      </c>
      <c r="J1168">
        <f t="shared" si="37"/>
        <v>20000001164</v>
      </c>
      <c r="K1168">
        <v>1165</v>
      </c>
    </row>
    <row r="1169" spans="1:14" x14ac:dyDescent="0.25">
      <c r="A1169" s="8" t="s">
        <v>532</v>
      </c>
      <c r="B1169" s="8" t="s">
        <v>535</v>
      </c>
      <c r="C1169" s="8" t="s">
        <v>532</v>
      </c>
      <c r="D1169" s="8" t="s">
        <v>2577</v>
      </c>
      <c r="E1169">
        <f t="shared" si="36"/>
        <v>1000001166</v>
      </c>
      <c r="F1169">
        <v>1</v>
      </c>
      <c r="J1169">
        <f t="shared" si="37"/>
        <v>20000001165</v>
      </c>
      <c r="K1169">
        <v>1166</v>
      </c>
    </row>
    <row r="1170" spans="1:14" x14ac:dyDescent="0.25">
      <c r="A1170" s="8" t="s">
        <v>532</v>
      </c>
      <c r="B1170" s="8" t="s">
        <v>536</v>
      </c>
      <c r="C1170" s="8" t="s">
        <v>532</v>
      </c>
      <c r="D1170" s="8" t="s">
        <v>2578</v>
      </c>
      <c r="E1170">
        <f t="shared" si="36"/>
        <v>1000001167</v>
      </c>
      <c r="F1170">
        <v>1</v>
      </c>
      <c r="J1170">
        <f t="shared" si="37"/>
        <v>20000001166</v>
      </c>
      <c r="K1170">
        <v>1167</v>
      </c>
    </row>
    <row r="1171" spans="1:14" x14ac:dyDescent="0.25">
      <c r="A1171" s="8" t="s">
        <v>532</v>
      </c>
      <c r="B1171" s="8" t="s">
        <v>537</v>
      </c>
      <c r="C1171" s="8" t="s">
        <v>532</v>
      </c>
      <c r="D1171" s="8" t="s">
        <v>2579</v>
      </c>
      <c r="E1171">
        <f t="shared" si="36"/>
        <v>1000001168</v>
      </c>
      <c r="F1171">
        <v>1</v>
      </c>
      <c r="J1171">
        <f t="shared" si="37"/>
        <v>20000001167</v>
      </c>
      <c r="K1171">
        <v>1168</v>
      </c>
    </row>
    <row r="1172" spans="1:14" x14ac:dyDescent="0.25">
      <c r="A1172" s="8" t="s">
        <v>532</v>
      </c>
      <c r="B1172" s="8" t="s">
        <v>538</v>
      </c>
      <c r="C1172" s="8" t="s">
        <v>532</v>
      </c>
      <c r="D1172" s="8" t="s">
        <v>2580</v>
      </c>
      <c r="E1172">
        <f t="shared" si="36"/>
        <v>4000001169</v>
      </c>
      <c r="F1172">
        <v>4</v>
      </c>
      <c r="J1172">
        <f t="shared" si="37"/>
        <v>20000001168</v>
      </c>
      <c r="K1172">
        <v>1169</v>
      </c>
    </row>
    <row r="1173" spans="1:14" x14ac:dyDescent="0.25">
      <c r="A1173" s="8" t="s">
        <v>532</v>
      </c>
      <c r="B1173" s="8" t="s">
        <v>539</v>
      </c>
      <c r="C1173" s="8" t="s">
        <v>532</v>
      </c>
      <c r="D1173" s="8" t="s">
        <v>2581</v>
      </c>
      <c r="E1173">
        <f t="shared" ref="E1173:E1204" si="38">IF(F1173="",J1173,IF(G1173="",F1173*$F$2+K1173,IF(H1173="",F1173*$F$2+G1173*$G$2+K1173,IF(I1173="",F1173*$F$2+G1173*$G$2+H1173*$H$2+K1173,F1173*$F$2+G1173*$G$2+H1173*$H$2+I1173*$I$2+K1173))))</f>
        <v>4000001170</v>
      </c>
      <c r="F1173">
        <v>4</v>
      </c>
      <c r="J1173">
        <f t="shared" si="37"/>
        <v>20000001169</v>
      </c>
      <c r="K1173">
        <v>1170</v>
      </c>
    </row>
    <row r="1174" spans="1:14" x14ac:dyDescent="0.25">
      <c r="A1174" s="8" t="s">
        <v>532</v>
      </c>
      <c r="B1174" s="8" t="s">
        <v>1311</v>
      </c>
      <c r="C1174" s="8" t="s">
        <v>532</v>
      </c>
      <c r="D1174" s="8" t="s">
        <v>2582</v>
      </c>
      <c r="E1174">
        <f t="shared" si="38"/>
        <v>4000001171</v>
      </c>
      <c r="F1174">
        <v>4</v>
      </c>
      <c r="J1174">
        <f t="shared" si="37"/>
        <v>20000001170</v>
      </c>
      <c r="K1174">
        <v>1171</v>
      </c>
    </row>
    <row r="1175" spans="1:14" x14ac:dyDescent="0.25">
      <c r="A1175" s="8" t="s">
        <v>532</v>
      </c>
      <c r="B1175" s="8" t="s">
        <v>540</v>
      </c>
      <c r="C1175" s="8" t="s">
        <v>532</v>
      </c>
      <c r="D1175" s="8" t="s">
        <v>2583</v>
      </c>
      <c r="E1175">
        <f t="shared" si="38"/>
        <v>4000001172</v>
      </c>
      <c r="F1175">
        <v>4</v>
      </c>
      <c r="J1175">
        <f t="shared" si="37"/>
        <v>20000001171</v>
      </c>
      <c r="K1175">
        <v>1172</v>
      </c>
      <c r="M1175">
        <v>10</v>
      </c>
      <c r="N1175">
        <v>10</v>
      </c>
    </row>
    <row r="1176" spans="1:14" x14ac:dyDescent="0.25">
      <c r="A1176" s="8" t="s">
        <v>532</v>
      </c>
      <c r="B1176" s="8" t="s">
        <v>541</v>
      </c>
      <c r="C1176" s="8" t="s">
        <v>532</v>
      </c>
      <c r="D1176" s="8" t="s">
        <v>2584</v>
      </c>
      <c r="E1176">
        <f t="shared" si="38"/>
        <v>4000001173</v>
      </c>
      <c r="F1176">
        <v>4</v>
      </c>
      <c r="J1176">
        <f t="shared" si="37"/>
        <v>20000001172</v>
      </c>
      <c r="K1176">
        <v>1173</v>
      </c>
      <c r="M1176">
        <v>10</v>
      </c>
      <c r="N1176">
        <v>10</v>
      </c>
    </row>
    <row r="1177" spans="1:14" x14ac:dyDescent="0.25">
      <c r="A1177" s="8" t="s">
        <v>532</v>
      </c>
      <c r="B1177" s="8" t="s">
        <v>1312</v>
      </c>
      <c r="C1177" s="8" t="s">
        <v>532</v>
      </c>
      <c r="D1177" s="8" t="s">
        <v>2585</v>
      </c>
      <c r="E1177">
        <f t="shared" si="38"/>
        <v>4000001174</v>
      </c>
      <c r="F1177">
        <v>4</v>
      </c>
      <c r="J1177">
        <f t="shared" si="37"/>
        <v>20000001173</v>
      </c>
      <c r="K1177">
        <v>1174</v>
      </c>
      <c r="M1177">
        <v>10</v>
      </c>
      <c r="N1177">
        <v>10</v>
      </c>
    </row>
    <row r="1178" spans="1:14" x14ac:dyDescent="0.25">
      <c r="A1178" s="8" t="s">
        <v>532</v>
      </c>
      <c r="B1178" s="8" t="s">
        <v>996</v>
      </c>
      <c r="C1178" s="8" t="s">
        <v>532</v>
      </c>
      <c r="D1178" s="8" t="s">
        <v>2586</v>
      </c>
      <c r="E1178">
        <f t="shared" si="38"/>
        <v>4000001175</v>
      </c>
      <c r="F1178">
        <v>4</v>
      </c>
      <c r="J1178">
        <f t="shared" si="37"/>
        <v>20000001174</v>
      </c>
      <c r="K1178">
        <v>1175</v>
      </c>
      <c r="M1178">
        <v>10</v>
      </c>
      <c r="N1178">
        <v>10</v>
      </c>
    </row>
    <row r="1179" spans="1:14" x14ac:dyDescent="0.25">
      <c r="A1179" s="8" t="s">
        <v>532</v>
      </c>
      <c r="B1179" s="8" t="s">
        <v>542</v>
      </c>
      <c r="C1179" s="8" t="s">
        <v>532</v>
      </c>
      <c r="D1179" s="8" t="s">
        <v>2587</v>
      </c>
      <c r="E1179">
        <f t="shared" si="38"/>
        <v>4000001176</v>
      </c>
      <c r="F1179">
        <v>4</v>
      </c>
      <c r="J1179">
        <f t="shared" si="37"/>
        <v>20000001175</v>
      </c>
      <c r="K1179">
        <v>1176</v>
      </c>
      <c r="M1179">
        <v>10</v>
      </c>
      <c r="N1179">
        <v>10</v>
      </c>
    </row>
    <row r="1180" spans="1:14" x14ac:dyDescent="0.25">
      <c r="A1180" s="8" t="s">
        <v>532</v>
      </c>
      <c r="B1180" s="8" t="s">
        <v>543</v>
      </c>
      <c r="C1180" s="8" t="s">
        <v>532</v>
      </c>
      <c r="D1180" s="8" t="s">
        <v>2588</v>
      </c>
      <c r="E1180">
        <f t="shared" si="38"/>
        <v>4000001177</v>
      </c>
      <c r="F1180">
        <v>4</v>
      </c>
      <c r="J1180">
        <f t="shared" si="37"/>
        <v>20000001176</v>
      </c>
      <c r="K1180">
        <v>1177</v>
      </c>
      <c r="M1180">
        <v>10</v>
      </c>
      <c r="N1180">
        <v>10</v>
      </c>
    </row>
    <row r="1181" spans="1:14" x14ac:dyDescent="0.25">
      <c r="A1181" s="8" t="s">
        <v>532</v>
      </c>
      <c r="B1181" s="8" t="s">
        <v>544</v>
      </c>
      <c r="C1181" s="8" t="s">
        <v>532</v>
      </c>
      <c r="D1181" s="8" t="s">
        <v>2589</v>
      </c>
      <c r="E1181">
        <f t="shared" si="38"/>
        <v>4000001178</v>
      </c>
      <c r="F1181">
        <v>4</v>
      </c>
      <c r="J1181">
        <f t="shared" si="37"/>
        <v>20000001177</v>
      </c>
      <c r="K1181">
        <v>1178</v>
      </c>
      <c r="M1181">
        <v>10</v>
      </c>
      <c r="N1181">
        <v>10</v>
      </c>
    </row>
    <row r="1182" spans="1:14" x14ac:dyDescent="0.25">
      <c r="A1182" s="8" t="s">
        <v>532</v>
      </c>
      <c r="B1182" s="8" t="s">
        <v>545</v>
      </c>
      <c r="C1182" s="8" t="s">
        <v>532</v>
      </c>
      <c r="D1182" s="8" t="s">
        <v>2590</v>
      </c>
      <c r="E1182">
        <f t="shared" si="38"/>
        <v>4000001179</v>
      </c>
      <c r="F1182">
        <v>4</v>
      </c>
      <c r="J1182">
        <f t="shared" si="37"/>
        <v>20000001178</v>
      </c>
      <c r="K1182">
        <v>1179</v>
      </c>
      <c r="M1182">
        <v>10</v>
      </c>
      <c r="N1182">
        <v>10</v>
      </c>
    </row>
    <row r="1183" spans="1:14" x14ac:dyDescent="0.25">
      <c r="A1183" s="8" t="s">
        <v>532</v>
      </c>
      <c r="B1183" s="8" t="s">
        <v>546</v>
      </c>
      <c r="C1183" s="8" t="s">
        <v>532</v>
      </c>
      <c r="D1183" s="8" t="s">
        <v>2591</v>
      </c>
      <c r="E1183">
        <f t="shared" si="38"/>
        <v>4000001180</v>
      </c>
      <c r="F1183">
        <v>4</v>
      </c>
      <c r="J1183">
        <f t="shared" si="37"/>
        <v>20000001179</v>
      </c>
      <c r="K1183">
        <v>1180</v>
      </c>
      <c r="M1183">
        <v>10</v>
      </c>
      <c r="N1183">
        <v>10</v>
      </c>
    </row>
    <row r="1184" spans="1:14" x14ac:dyDescent="0.25">
      <c r="A1184" s="8" t="s">
        <v>532</v>
      </c>
      <c r="B1184" s="8" t="s">
        <v>547</v>
      </c>
      <c r="C1184" s="8" t="s">
        <v>532</v>
      </c>
      <c r="D1184" s="8" t="s">
        <v>2592</v>
      </c>
      <c r="E1184">
        <f t="shared" si="38"/>
        <v>4000001181</v>
      </c>
      <c r="F1184">
        <v>4</v>
      </c>
      <c r="J1184">
        <f t="shared" si="37"/>
        <v>20000001180</v>
      </c>
      <c r="K1184">
        <v>1181</v>
      </c>
      <c r="M1184">
        <v>10</v>
      </c>
      <c r="N1184">
        <v>10</v>
      </c>
    </row>
    <row r="1185" spans="1:14" x14ac:dyDescent="0.25">
      <c r="A1185" s="8" t="s">
        <v>532</v>
      </c>
      <c r="B1185" s="8" t="s">
        <v>548</v>
      </c>
      <c r="C1185" s="8" t="s">
        <v>532</v>
      </c>
      <c r="D1185" s="8" t="s">
        <v>2593</v>
      </c>
      <c r="E1185">
        <f t="shared" si="38"/>
        <v>4000001182</v>
      </c>
      <c r="F1185">
        <v>4</v>
      </c>
      <c r="J1185">
        <f t="shared" si="37"/>
        <v>20000001181</v>
      </c>
      <c r="K1185">
        <v>1182</v>
      </c>
      <c r="M1185">
        <v>10</v>
      </c>
      <c r="N1185">
        <v>10</v>
      </c>
    </row>
    <row r="1186" spans="1:14" x14ac:dyDescent="0.25">
      <c r="A1186" s="8" t="s">
        <v>532</v>
      </c>
      <c r="B1186" s="8" t="s">
        <v>549</v>
      </c>
      <c r="C1186" s="8" t="s">
        <v>532</v>
      </c>
      <c r="D1186" s="8" t="s">
        <v>2594</v>
      </c>
      <c r="E1186">
        <f t="shared" si="38"/>
        <v>4000001183</v>
      </c>
      <c r="F1186">
        <v>4</v>
      </c>
      <c r="J1186">
        <f t="shared" si="37"/>
        <v>20000001182</v>
      </c>
      <c r="K1186">
        <v>1183</v>
      </c>
      <c r="M1186">
        <v>10</v>
      </c>
      <c r="N1186">
        <v>10</v>
      </c>
    </row>
    <row r="1187" spans="1:14" x14ac:dyDescent="0.25">
      <c r="A1187" s="8" t="s">
        <v>532</v>
      </c>
      <c r="B1187" s="8" t="s">
        <v>550</v>
      </c>
      <c r="C1187" s="8" t="s">
        <v>532</v>
      </c>
      <c r="D1187" s="8" t="s">
        <v>2595</v>
      </c>
      <c r="E1187">
        <f t="shared" si="38"/>
        <v>4000001184</v>
      </c>
      <c r="F1187">
        <v>4</v>
      </c>
      <c r="J1187">
        <f t="shared" si="37"/>
        <v>20000001183</v>
      </c>
      <c r="K1187">
        <v>1184</v>
      </c>
    </row>
    <row r="1188" spans="1:14" x14ac:dyDescent="0.25">
      <c r="A1188" s="8" t="s">
        <v>532</v>
      </c>
      <c r="B1188" s="8" t="s">
        <v>1313</v>
      </c>
      <c r="C1188" s="8" t="s">
        <v>532</v>
      </c>
      <c r="D1188" s="8" t="s">
        <v>2596</v>
      </c>
      <c r="E1188">
        <f t="shared" si="38"/>
        <v>4000001185</v>
      </c>
      <c r="F1188">
        <v>4</v>
      </c>
      <c r="J1188">
        <f t="shared" si="37"/>
        <v>20000001184</v>
      </c>
      <c r="K1188">
        <v>1185</v>
      </c>
    </row>
    <row r="1189" spans="1:14" x14ac:dyDescent="0.25">
      <c r="A1189" s="8" t="s">
        <v>532</v>
      </c>
      <c r="B1189" s="8" t="s">
        <v>705</v>
      </c>
      <c r="C1189" s="8" t="s">
        <v>532</v>
      </c>
      <c r="D1189" s="8" t="s">
        <v>2597</v>
      </c>
      <c r="E1189">
        <f t="shared" si="38"/>
        <v>4000001186</v>
      </c>
      <c r="F1189">
        <v>4</v>
      </c>
      <c r="J1189">
        <f t="shared" si="37"/>
        <v>20000001185</v>
      </c>
      <c r="K1189">
        <v>1186</v>
      </c>
    </row>
    <row r="1190" spans="1:14" x14ac:dyDescent="0.25">
      <c r="A1190" s="8" t="s">
        <v>532</v>
      </c>
      <c r="B1190" s="8" t="s">
        <v>1470</v>
      </c>
      <c r="C1190" s="8" t="s">
        <v>532</v>
      </c>
      <c r="D1190" s="8" t="s">
        <v>2598</v>
      </c>
      <c r="E1190">
        <f t="shared" si="38"/>
        <v>4000001187</v>
      </c>
      <c r="F1190">
        <v>4</v>
      </c>
      <c r="J1190">
        <f t="shared" si="37"/>
        <v>20000001186</v>
      </c>
      <c r="K1190">
        <v>1187</v>
      </c>
    </row>
    <row r="1191" spans="1:14" x14ac:dyDescent="0.25">
      <c r="A1191" s="8" t="s">
        <v>532</v>
      </c>
      <c r="B1191" s="8" t="s">
        <v>1314</v>
      </c>
      <c r="C1191" s="8" t="s">
        <v>532</v>
      </c>
      <c r="D1191" s="8" t="s">
        <v>2599</v>
      </c>
      <c r="E1191">
        <f t="shared" si="38"/>
        <v>4000001188</v>
      </c>
      <c r="F1191">
        <v>4</v>
      </c>
      <c r="J1191">
        <f t="shared" si="37"/>
        <v>20000001187</v>
      </c>
      <c r="K1191">
        <v>1188</v>
      </c>
    </row>
    <row r="1192" spans="1:14" x14ac:dyDescent="0.25">
      <c r="A1192" s="8" t="s">
        <v>532</v>
      </c>
      <c r="B1192" s="8" t="s">
        <v>1471</v>
      </c>
      <c r="C1192" s="8" t="s">
        <v>532</v>
      </c>
      <c r="D1192" s="8" t="s">
        <v>2600</v>
      </c>
      <c r="E1192">
        <f t="shared" si="38"/>
        <v>4000001189</v>
      </c>
      <c r="F1192">
        <v>4</v>
      </c>
      <c r="J1192">
        <f t="shared" si="37"/>
        <v>20000001188</v>
      </c>
      <c r="K1192">
        <v>1189</v>
      </c>
    </row>
    <row r="1193" spans="1:14" x14ac:dyDescent="0.25">
      <c r="A1193" s="8" t="s">
        <v>532</v>
      </c>
      <c r="B1193" s="8" t="s">
        <v>997</v>
      </c>
      <c r="C1193" s="8" t="s">
        <v>532</v>
      </c>
      <c r="D1193" s="8" t="s">
        <v>2601</v>
      </c>
      <c r="E1193">
        <f t="shared" si="38"/>
        <v>4000001190</v>
      </c>
      <c r="F1193">
        <v>4</v>
      </c>
      <c r="J1193">
        <f t="shared" si="37"/>
        <v>20000001189</v>
      </c>
      <c r="K1193">
        <v>1190</v>
      </c>
    </row>
    <row r="1194" spans="1:14" x14ac:dyDescent="0.25">
      <c r="A1194" s="8" t="s">
        <v>532</v>
      </c>
      <c r="B1194" s="8" t="s">
        <v>998</v>
      </c>
      <c r="C1194" s="8" t="s">
        <v>532</v>
      </c>
      <c r="D1194" s="8" t="s">
        <v>2602</v>
      </c>
      <c r="E1194">
        <f t="shared" si="38"/>
        <v>4000001191</v>
      </c>
      <c r="F1194">
        <v>4</v>
      </c>
      <c r="J1194">
        <f t="shared" si="37"/>
        <v>20000001190</v>
      </c>
      <c r="K1194">
        <v>1191</v>
      </c>
    </row>
    <row r="1195" spans="1:14" x14ac:dyDescent="0.25">
      <c r="A1195" s="8" t="s">
        <v>532</v>
      </c>
      <c r="B1195" s="8" t="s">
        <v>999</v>
      </c>
      <c r="C1195" s="8" t="s">
        <v>532</v>
      </c>
      <c r="D1195" s="8" t="s">
        <v>2603</v>
      </c>
      <c r="E1195">
        <f t="shared" si="38"/>
        <v>4000001192</v>
      </c>
      <c r="F1195">
        <v>4</v>
      </c>
      <c r="J1195">
        <f t="shared" si="37"/>
        <v>20000001191</v>
      </c>
      <c r="K1195">
        <v>1192</v>
      </c>
    </row>
    <row r="1196" spans="1:14" x14ac:dyDescent="0.25">
      <c r="A1196" s="8" t="s">
        <v>532</v>
      </c>
      <c r="B1196" s="8" t="s">
        <v>706</v>
      </c>
      <c r="C1196" s="8" t="s">
        <v>532</v>
      </c>
      <c r="D1196" s="8" t="s">
        <v>2604</v>
      </c>
      <c r="E1196">
        <f t="shared" si="38"/>
        <v>4000001193</v>
      </c>
      <c r="F1196">
        <v>4</v>
      </c>
      <c r="J1196">
        <f t="shared" si="37"/>
        <v>20000001192</v>
      </c>
      <c r="K1196">
        <v>1193</v>
      </c>
    </row>
    <row r="1197" spans="1:14" x14ac:dyDescent="0.25">
      <c r="A1197" s="8" t="s">
        <v>532</v>
      </c>
      <c r="B1197" s="8" t="s">
        <v>707</v>
      </c>
      <c r="C1197" s="8" t="s">
        <v>532</v>
      </c>
      <c r="D1197" s="8" t="s">
        <v>2605</v>
      </c>
      <c r="E1197">
        <f t="shared" si="38"/>
        <v>4000001194</v>
      </c>
      <c r="F1197">
        <v>4</v>
      </c>
      <c r="J1197">
        <f t="shared" si="37"/>
        <v>20000001193</v>
      </c>
      <c r="K1197">
        <v>1194</v>
      </c>
    </row>
    <row r="1198" spans="1:14" x14ac:dyDescent="0.25">
      <c r="A1198" s="8" t="s">
        <v>532</v>
      </c>
      <c r="B1198" s="8" t="s">
        <v>1472</v>
      </c>
      <c r="C1198" s="8" t="s">
        <v>532</v>
      </c>
      <c r="D1198" s="8" t="s">
        <v>2606</v>
      </c>
      <c r="E1198">
        <f t="shared" si="38"/>
        <v>4000001195</v>
      </c>
      <c r="F1198">
        <v>4</v>
      </c>
      <c r="J1198">
        <f t="shared" si="37"/>
        <v>20000001194</v>
      </c>
      <c r="K1198">
        <v>1195</v>
      </c>
    </row>
    <row r="1199" spans="1:14" x14ac:dyDescent="0.25">
      <c r="A1199" s="8" t="s">
        <v>532</v>
      </c>
      <c r="B1199" s="8" t="s">
        <v>708</v>
      </c>
      <c r="C1199" s="8" t="s">
        <v>532</v>
      </c>
      <c r="D1199" s="8" t="s">
        <v>2607</v>
      </c>
      <c r="E1199">
        <f t="shared" si="38"/>
        <v>4000001196</v>
      </c>
      <c r="F1199">
        <v>4</v>
      </c>
      <c r="J1199">
        <f t="shared" si="37"/>
        <v>20000001195</v>
      </c>
      <c r="K1199">
        <v>1196</v>
      </c>
    </row>
    <row r="1200" spans="1:14" x14ac:dyDescent="0.25">
      <c r="A1200" s="8" t="s">
        <v>532</v>
      </c>
      <c r="B1200" s="8" t="s">
        <v>1315</v>
      </c>
      <c r="C1200" s="8" t="s">
        <v>532</v>
      </c>
      <c r="D1200" s="8" t="s">
        <v>2608</v>
      </c>
      <c r="E1200">
        <f t="shared" si="38"/>
        <v>4000001197</v>
      </c>
      <c r="F1200">
        <v>4</v>
      </c>
      <c r="J1200">
        <f t="shared" si="37"/>
        <v>20000001196</v>
      </c>
      <c r="K1200">
        <v>1197</v>
      </c>
    </row>
    <row r="1201" spans="1:11" x14ac:dyDescent="0.25">
      <c r="A1201" s="8" t="s">
        <v>532</v>
      </c>
      <c r="B1201" s="8" t="s">
        <v>1000</v>
      </c>
      <c r="C1201" s="8" t="s">
        <v>532</v>
      </c>
      <c r="D1201" s="8" t="s">
        <v>2609</v>
      </c>
      <c r="E1201">
        <f t="shared" si="38"/>
        <v>4000001198</v>
      </c>
      <c r="F1201">
        <v>4</v>
      </c>
      <c r="J1201">
        <f t="shared" si="37"/>
        <v>20000001197</v>
      </c>
      <c r="K1201">
        <v>1198</v>
      </c>
    </row>
    <row r="1202" spans="1:11" x14ac:dyDescent="0.25">
      <c r="A1202" s="8" t="s">
        <v>532</v>
      </c>
      <c r="B1202" s="8" t="s">
        <v>1316</v>
      </c>
      <c r="C1202" s="8" t="s">
        <v>532</v>
      </c>
      <c r="D1202" s="8" t="s">
        <v>2610</v>
      </c>
      <c r="E1202">
        <f t="shared" si="38"/>
        <v>4000001199</v>
      </c>
      <c r="F1202">
        <v>4</v>
      </c>
      <c r="J1202">
        <f t="shared" si="37"/>
        <v>20000001198</v>
      </c>
      <c r="K1202">
        <v>1199</v>
      </c>
    </row>
    <row r="1203" spans="1:11" x14ac:dyDescent="0.25">
      <c r="A1203" s="8" t="s">
        <v>532</v>
      </c>
      <c r="B1203" s="8" t="s">
        <v>1473</v>
      </c>
      <c r="C1203" s="8" t="s">
        <v>532</v>
      </c>
      <c r="D1203" s="8" t="s">
        <v>2611</v>
      </c>
      <c r="E1203">
        <f t="shared" si="38"/>
        <v>4000001200</v>
      </c>
      <c r="F1203">
        <v>4</v>
      </c>
      <c r="J1203">
        <f t="shared" si="37"/>
        <v>20000001199</v>
      </c>
      <c r="K1203">
        <v>1200</v>
      </c>
    </row>
    <row r="1204" spans="1:11" x14ac:dyDescent="0.25">
      <c r="A1204" s="8" t="s">
        <v>532</v>
      </c>
      <c r="B1204" s="8" t="s">
        <v>879</v>
      </c>
      <c r="C1204" s="8" t="s">
        <v>532</v>
      </c>
      <c r="D1204" s="8" t="s">
        <v>2612</v>
      </c>
      <c r="E1204">
        <f t="shared" si="38"/>
        <v>4000001201</v>
      </c>
      <c r="F1204">
        <v>4</v>
      </c>
      <c r="J1204">
        <f t="shared" si="37"/>
        <v>20000001200</v>
      </c>
      <c r="K1204">
        <v>1201</v>
      </c>
    </row>
    <row r="1205" spans="1:11" x14ac:dyDescent="0.25">
      <c r="A1205" s="8" t="s">
        <v>532</v>
      </c>
      <c r="B1205" s="8" t="s">
        <v>1001</v>
      </c>
      <c r="C1205" s="8" t="s">
        <v>532</v>
      </c>
      <c r="D1205" s="8" t="s">
        <v>2613</v>
      </c>
      <c r="E1205">
        <f t="shared" ref="E1205:E1219" si="39">IF(F1205="",J1205,IF(G1205="",F1205*$F$2+K1205,IF(H1205="",F1205*$F$2+G1205*$G$2+K1205,IF(I1205="",F1205*$F$2+G1205*$G$2+H1205*$H$2+K1205,F1205*$F$2+G1205*$G$2+H1205*$H$2+I1205*$I$2+K1205))))</f>
        <v>4000001202</v>
      </c>
      <c r="F1205">
        <v>4</v>
      </c>
      <c r="J1205">
        <f t="shared" si="37"/>
        <v>20000001201</v>
      </c>
      <c r="K1205">
        <v>1202</v>
      </c>
    </row>
    <row r="1206" spans="1:11" x14ac:dyDescent="0.25">
      <c r="A1206" s="8" t="s">
        <v>532</v>
      </c>
      <c r="B1206" s="8" t="s">
        <v>1317</v>
      </c>
      <c r="C1206" s="8" t="s">
        <v>532</v>
      </c>
      <c r="D1206" s="8" t="s">
        <v>2613</v>
      </c>
      <c r="E1206">
        <f t="shared" si="39"/>
        <v>4000001203</v>
      </c>
      <c r="F1206">
        <v>4</v>
      </c>
      <c r="J1206">
        <f t="shared" si="37"/>
        <v>20000001202</v>
      </c>
      <c r="K1206">
        <v>1203</v>
      </c>
    </row>
    <row r="1207" spans="1:11" x14ac:dyDescent="0.25">
      <c r="A1207" s="8" t="s">
        <v>532</v>
      </c>
      <c r="B1207" s="8" t="s">
        <v>880</v>
      </c>
      <c r="C1207" s="8" t="s">
        <v>532</v>
      </c>
      <c r="D1207" s="8" t="s">
        <v>2614</v>
      </c>
      <c r="E1207">
        <f t="shared" si="39"/>
        <v>4000001204</v>
      </c>
      <c r="F1207">
        <v>4</v>
      </c>
      <c r="J1207">
        <f t="shared" si="37"/>
        <v>20000001203</v>
      </c>
      <c r="K1207">
        <v>1204</v>
      </c>
    </row>
    <row r="1208" spans="1:11" x14ac:dyDescent="0.25">
      <c r="A1208" s="8" t="s">
        <v>532</v>
      </c>
      <c r="B1208" s="8" t="s">
        <v>1318</v>
      </c>
      <c r="C1208" s="8" t="s">
        <v>532</v>
      </c>
      <c r="D1208" s="8" t="s">
        <v>2615</v>
      </c>
      <c r="E1208">
        <f t="shared" si="39"/>
        <v>4000001205</v>
      </c>
      <c r="F1208">
        <v>4</v>
      </c>
      <c r="J1208">
        <f t="shared" si="37"/>
        <v>20000001204</v>
      </c>
      <c r="K1208">
        <v>1205</v>
      </c>
    </row>
    <row r="1209" spans="1:11" x14ac:dyDescent="0.25">
      <c r="A1209" s="8" t="s">
        <v>532</v>
      </c>
      <c r="B1209" s="8" t="s">
        <v>881</v>
      </c>
      <c r="C1209" s="8" t="s">
        <v>532</v>
      </c>
      <c r="D1209" s="8" t="s">
        <v>2616</v>
      </c>
      <c r="E1209">
        <f t="shared" si="39"/>
        <v>4000001206</v>
      </c>
      <c r="F1209">
        <v>4</v>
      </c>
      <c r="J1209">
        <f t="shared" si="37"/>
        <v>20000001205</v>
      </c>
      <c r="K1209">
        <v>1206</v>
      </c>
    </row>
    <row r="1210" spans="1:11" x14ac:dyDescent="0.25">
      <c r="A1210" s="8" t="s">
        <v>1030</v>
      </c>
      <c r="B1210" s="8" t="s">
        <v>1319</v>
      </c>
      <c r="C1210" s="8" t="s">
        <v>1030</v>
      </c>
      <c r="D1210" s="8" t="s">
        <v>2617</v>
      </c>
      <c r="E1210">
        <f t="shared" si="39"/>
        <v>4000001207</v>
      </c>
      <c r="F1210">
        <v>4</v>
      </c>
      <c r="J1210">
        <f t="shared" si="37"/>
        <v>20000001206</v>
      </c>
      <c r="K1210">
        <v>1207</v>
      </c>
    </row>
    <row r="1211" spans="1:11" x14ac:dyDescent="0.25">
      <c r="A1211" s="8" t="s">
        <v>1030</v>
      </c>
      <c r="B1211" s="8">
        <v>113</v>
      </c>
      <c r="C1211" s="8" t="s">
        <v>1030</v>
      </c>
      <c r="D1211" s="8" t="s">
        <v>2618</v>
      </c>
      <c r="E1211">
        <f t="shared" si="39"/>
        <v>4000001208</v>
      </c>
      <c r="F1211">
        <v>4</v>
      </c>
      <c r="J1211">
        <f t="shared" si="37"/>
        <v>20000001207</v>
      </c>
      <c r="K1211">
        <v>1208</v>
      </c>
    </row>
    <row r="1212" spans="1:11" x14ac:dyDescent="0.25">
      <c r="A1212" s="8" t="s">
        <v>1030</v>
      </c>
      <c r="B1212" s="8">
        <v>114</v>
      </c>
      <c r="C1212" s="8" t="s">
        <v>1030</v>
      </c>
      <c r="D1212" s="8" t="s">
        <v>2619</v>
      </c>
      <c r="E1212">
        <f t="shared" si="39"/>
        <v>4000001209</v>
      </c>
      <c r="F1212">
        <v>4</v>
      </c>
      <c r="J1212">
        <f t="shared" si="37"/>
        <v>20000001208</v>
      </c>
      <c r="K1212">
        <v>1209</v>
      </c>
    </row>
    <row r="1213" spans="1:11" x14ac:dyDescent="0.25">
      <c r="A1213" s="8" t="s">
        <v>1030</v>
      </c>
      <c r="B1213" s="8">
        <v>116</v>
      </c>
      <c r="C1213" s="8" t="s">
        <v>1030</v>
      </c>
      <c r="D1213" s="8" t="s">
        <v>2620</v>
      </c>
      <c r="E1213">
        <f t="shared" si="39"/>
        <v>4000001210</v>
      </c>
      <c r="F1213">
        <v>4</v>
      </c>
      <c r="J1213">
        <f t="shared" si="37"/>
        <v>20000001209</v>
      </c>
      <c r="K1213">
        <v>1210</v>
      </c>
    </row>
    <row r="1214" spans="1:11" x14ac:dyDescent="0.25">
      <c r="A1214" s="8" t="s">
        <v>1030</v>
      </c>
      <c r="B1214" s="8" t="s">
        <v>1320</v>
      </c>
      <c r="C1214" s="8" t="s">
        <v>1030</v>
      </c>
      <c r="D1214" s="8" t="s">
        <v>2621</v>
      </c>
      <c r="E1214">
        <f t="shared" si="39"/>
        <v>4000001211</v>
      </c>
      <c r="F1214">
        <v>4</v>
      </c>
      <c r="J1214">
        <f t="shared" si="37"/>
        <v>20000001210</v>
      </c>
      <c r="K1214">
        <v>1211</v>
      </c>
    </row>
    <row r="1215" spans="1:11" x14ac:dyDescent="0.25">
      <c r="A1215" s="8" t="s">
        <v>1030</v>
      </c>
      <c r="B1215" s="8" t="s">
        <v>709</v>
      </c>
      <c r="C1215" s="8" t="s">
        <v>1030</v>
      </c>
      <c r="D1215" s="8" t="s">
        <v>2622</v>
      </c>
      <c r="E1215">
        <f t="shared" si="39"/>
        <v>4000001212</v>
      </c>
      <c r="F1215">
        <v>4</v>
      </c>
      <c r="J1215">
        <f t="shared" si="37"/>
        <v>20000001211</v>
      </c>
      <c r="K1215">
        <v>1212</v>
      </c>
    </row>
    <row r="1216" spans="1:11" x14ac:dyDescent="0.25">
      <c r="A1216" s="8" t="s">
        <v>1030</v>
      </c>
      <c r="B1216" s="8">
        <v>152</v>
      </c>
      <c r="C1216" s="8" t="s">
        <v>1030</v>
      </c>
      <c r="D1216" s="8" t="s">
        <v>2623</v>
      </c>
      <c r="E1216">
        <f t="shared" si="39"/>
        <v>4000001213</v>
      </c>
      <c r="F1216">
        <v>4</v>
      </c>
      <c r="J1216">
        <f t="shared" si="37"/>
        <v>20000001212</v>
      </c>
      <c r="K1216">
        <v>1213</v>
      </c>
    </row>
    <row r="1217" spans="1:11" x14ac:dyDescent="0.25">
      <c r="A1217" s="8" t="s">
        <v>1030</v>
      </c>
      <c r="B1217" s="8">
        <v>153</v>
      </c>
      <c r="C1217" s="8" t="s">
        <v>1030</v>
      </c>
      <c r="D1217" s="8" t="s">
        <v>2624</v>
      </c>
      <c r="E1217">
        <f t="shared" si="39"/>
        <v>4000001214</v>
      </c>
      <c r="F1217">
        <v>4</v>
      </c>
      <c r="J1217">
        <f t="shared" si="37"/>
        <v>20000001213</v>
      </c>
      <c r="K1217">
        <v>1214</v>
      </c>
    </row>
    <row r="1218" spans="1:11" x14ac:dyDescent="0.25">
      <c r="A1218" s="8" t="s">
        <v>1030</v>
      </c>
      <c r="B1218" s="8">
        <v>202</v>
      </c>
      <c r="C1218" s="8" t="s">
        <v>1030</v>
      </c>
      <c r="D1218" s="8" t="s">
        <v>2625</v>
      </c>
      <c r="E1218">
        <f t="shared" si="39"/>
        <v>4000001215</v>
      </c>
      <c r="F1218">
        <v>4</v>
      </c>
      <c r="J1218">
        <f t="shared" si="37"/>
        <v>20000001214</v>
      </c>
      <c r="K1218">
        <v>1215</v>
      </c>
    </row>
    <row r="1219" spans="1:11" x14ac:dyDescent="0.25">
      <c r="A1219" s="8" t="s">
        <v>1030</v>
      </c>
      <c r="B1219" s="8">
        <v>203</v>
      </c>
      <c r="C1219" s="8" t="s">
        <v>1030</v>
      </c>
      <c r="D1219" s="8" t="s">
        <v>2626</v>
      </c>
      <c r="E1219">
        <f t="shared" si="39"/>
        <v>4000001216</v>
      </c>
      <c r="F1219">
        <v>4</v>
      </c>
      <c r="J1219">
        <f t="shared" si="37"/>
        <v>20000001215</v>
      </c>
      <c r="K1219">
        <v>1216</v>
      </c>
    </row>
    <row r="1220" spans="1:11" x14ac:dyDescent="0.25">
      <c r="A1220" s="8" t="s">
        <v>1030</v>
      </c>
      <c r="B1220" s="8">
        <v>204</v>
      </c>
      <c r="C1220" s="8" t="s">
        <v>1030</v>
      </c>
      <c r="D1220" s="8" t="s">
        <v>2627</v>
      </c>
      <c r="E1220">
        <f t="shared" ref="E1220" si="40">IF(F1220="",J1220,IF(G1220="",F1220*$F$2+K1220,IF(H1220="",F1220*$F$2+G1220*$G$2+K1220,IF(I1220="",F1220*$F$2+G1220*$G$2+H1220*$H$2+K1220,F1220*$F$2+G1220*$G$2+H1220*$H$2+I1220*$I$2+K1220))))</f>
        <v>4000001217</v>
      </c>
      <c r="F1220">
        <v>4</v>
      </c>
      <c r="J1220">
        <f t="shared" si="37"/>
        <v>20000001216</v>
      </c>
      <c r="K1220">
        <v>1217</v>
      </c>
    </row>
    <row r="1221" spans="1:11" x14ac:dyDescent="0.25">
      <c r="A1221" s="8" t="s">
        <v>1030</v>
      </c>
      <c r="B1221" s="8">
        <v>205</v>
      </c>
      <c r="C1221" s="8" t="s">
        <v>1030</v>
      </c>
      <c r="D1221" s="8" t="s">
        <v>2628</v>
      </c>
      <c r="E1221">
        <f t="shared" ref="E1221:E1284" si="41">IF(F1221="",J1221,IF(G1221="",F1221*$F$2+K1221,IF(H1221="",F1221*$F$2+G1221*$G$2+K1221,IF(I1221="",F1221*$F$2+G1221*$G$2+H1221*$H$2+K1221,F1221*$F$2+G1221*$G$2+H1221*$H$2+I1221*$I$2+K1221))))</f>
        <v>4000001218</v>
      </c>
      <c r="F1221">
        <v>4</v>
      </c>
      <c r="J1221">
        <f t="shared" si="37"/>
        <v>20000001217</v>
      </c>
      <c r="K1221">
        <v>1218</v>
      </c>
    </row>
    <row r="1222" spans="1:11" x14ac:dyDescent="0.25">
      <c r="A1222" s="8" t="s">
        <v>1030</v>
      </c>
      <c r="B1222" s="8">
        <v>242</v>
      </c>
      <c r="C1222" s="8" t="s">
        <v>1030</v>
      </c>
      <c r="D1222" s="8" t="s">
        <v>2629</v>
      </c>
      <c r="E1222">
        <f t="shared" si="41"/>
        <v>4000001219</v>
      </c>
      <c r="F1222">
        <v>4</v>
      </c>
      <c r="J1222">
        <f t="shared" si="37"/>
        <v>20000001218</v>
      </c>
      <c r="K1222">
        <v>1219</v>
      </c>
    </row>
    <row r="1223" spans="1:11" x14ac:dyDescent="0.25">
      <c r="A1223" s="8" t="s">
        <v>1030</v>
      </c>
      <c r="B1223" s="8">
        <v>243</v>
      </c>
      <c r="C1223" s="8" t="s">
        <v>1030</v>
      </c>
      <c r="D1223" s="8" t="s">
        <v>2630</v>
      </c>
      <c r="E1223">
        <f t="shared" si="41"/>
        <v>4000001220</v>
      </c>
      <c r="F1223">
        <v>4</v>
      </c>
      <c r="J1223">
        <f t="shared" si="37"/>
        <v>20000001219</v>
      </c>
      <c r="K1223">
        <v>1220</v>
      </c>
    </row>
    <row r="1224" spans="1:11" x14ac:dyDescent="0.25">
      <c r="A1224" s="8" t="s">
        <v>1030</v>
      </c>
      <c r="B1224" s="8">
        <v>244</v>
      </c>
      <c r="C1224" s="8" t="s">
        <v>1030</v>
      </c>
      <c r="D1224" s="8" t="s">
        <v>2631</v>
      </c>
      <c r="E1224">
        <f t="shared" si="41"/>
        <v>4000001221</v>
      </c>
      <c r="F1224">
        <v>4</v>
      </c>
      <c r="J1224">
        <f t="shared" si="37"/>
        <v>20000001220</v>
      </c>
      <c r="K1224">
        <v>1221</v>
      </c>
    </row>
    <row r="1225" spans="1:11" x14ac:dyDescent="0.25">
      <c r="A1225" s="8" t="s">
        <v>1030</v>
      </c>
      <c r="B1225" s="8">
        <v>245</v>
      </c>
      <c r="C1225" s="8" t="s">
        <v>1030</v>
      </c>
      <c r="D1225" s="8" t="s">
        <v>2632</v>
      </c>
      <c r="E1225">
        <f t="shared" si="41"/>
        <v>4000001222</v>
      </c>
      <c r="F1225">
        <v>4</v>
      </c>
      <c r="J1225">
        <f t="shared" ref="J1225:J1288" si="42">J1224+1</f>
        <v>20000001221</v>
      </c>
      <c r="K1225">
        <v>1222</v>
      </c>
    </row>
    <row r="1226" spans="1:11" x14ac:dyDescent="0.25">
      <c r="A1226" s="8" t="s">
        <v>1030</v>
      </c>
      <c r="B1226" s="8" t="s">
        <v>1321</v>
      </c>
      <c r="C1226" s="8" t="s">
        <v>1030</v>
      </c>
      <c r="D1226" s="8" t="s">
        <v>2633</v>
      </c>
      <c r="E1226">
        <f t="shared" si="41"/>
        <v>4000001223</v>
      </c>
      <c r="F1226">
        <v>4</v>
      </c>
      <c r="J1226">
        <f t="shared" si="42"/>
        <v>20000001222</v>
      </c>
      <c r="K1226">
        <v>1223</v>
      </c>
    </row>
    <row r="1227" spans="1:11" x14ac:dyDescent="0.25">
      <c r="A1227" s="8" t="s">
        <v>1030</v>
      </c>
      <c r="B1227" s="8">
        <v>272</v>
      </c>
      <c r="C1227" s="8" t="s">
        <v>1030</v>
      </c>
      <c r="D1227" s="8" t="s">
        <v>2634</v>
      </c>
      <c r="E1227">
        <f t="shared" si="41"/>
        <v>4000001224</v>
      </c>
      <c r="F1227">
        <v>4</v>
      </c>
      <c r="J1227">
        <f t="shared" si="42"/>
        <v>20000001223</v>
      </c>
      <c r="K1227">
        <v>1224</v>
      </c>
    </row>
    <row r="1228" spans="1:11" x14ac:dyDescent="0.25">
      <c r="A1228" s="8" t="s">
        <v>1030</v>
      </c>
      <c r="B1228" s="8">
        <v>282</v>
      </c>
      <c r="C1228" s="8" t="s">
        <v>1030</v>
      </c>
      <c r="D1228" s="8" t="s">
        <v>2635</v>
      </c>
      <c r="E1228">
        <f t="shared" si="41"/>
        <v>4000001225</v>
      </c>
      <c r="F1228">
        <v>4</v>
      </c>
      <c r="J1228">
        <f t="shared" si="42"/>
        <v>20000001224</v>
      </c>
      <c r="K1228">
        <v>1225</v>
      </c>
    </row>
    <row r="1229" spans="1:11" x14ac:dyDescent="0.25">
      <c r="A1229" s="8" t="s">
        <v>1030</v>
      </c>
      <c r="B1229" s="8">
        <v>283</v>
      </c>
      <c r="C1229" s="8" t="s">
        <v>1030</v>
      </c>
      <c r="D1229" s="8" t="s">
        <v>2636</v>
      </c>
      <c r="E1229">
        <f t="shared" si="41"/>
        <v>4000001226</v>
      </c>
      <c r="F1229">
        <v>4</v>
      </c>
      <c r="J1229">
        <f t="shared" si="42"/>
        <v>20000001225</v>
      </c>
      <c r="K1229">
        <v>1226</v>
      </c>
    </row>
    <row r="1230" spans="1:11" x14ac:dyDescent="0.25">
      <c r="A1230" s="8" t="s">
        <v>1030</v>
      </c>
      <c r="B1230" s="8">
        <v>284</v>
      </c>
      <c r="C1230" s="8" t="s">
        <v>1030</v>
      </c>
      <c r="D1230" s="8" t="s">
        <v>2637</v>
      </c>
      <c r="E1230">
        <f t="shared" si="41"/>
        <v>4000001227</v>
      </c>
      <c r="F1230">
        <v>4</v>
      </c>
      <c r="J1230">
        <f t="shared" si="42"/>
        <v>20000001226</v>
      </c>
      <c r="K1230">
        <v>1227</v>
      </c>
    </row>
    <row r="1231" spans="1:11" x14ac:dyDescent="0.25">
      <c r="A1231" s="8" t="s">
        <v>1030</v>
      </c>
      <c r="B1231" s="8">
        <v>286</v>
      </c>
      <c r="C1231" s="8" t="s">
        <v>1030</v>
      </c>
      <c r="D1231" s="8" t="s">
        <v>2638</v>
      </c>
      <c r="E1231">
        <f t="shared" si="41"/>
        <v>4000001228</v>
      </c>
      <c r="F1231">
        <v>4</v>
      </c>
      <c r="J1231">
        <f t="shared" si="42"/>
        <v>20000001227</v>
      </c>
      <c r="K1231">
        <v>1228</v>
      </c>
    </row>
    <row r="1232" spans="1:11" x14ac:dyDescent="0.25">
      <c r="A1232" s="8" t="s">
        <v>1030</v>
      </c>
      <c r="B1232" s="8">
        <v>332</v>
      </c>
      <c r="C1232" s="8" t="s">
        <v>1030</v>
      </c>
      <c r="D1232" s="8" t="s">
        <v>2639</v>
      </c>
      <c r="E1232">
        <f t="shared" si="41"/>
        <v>4000001229</v>
      </c>
      <c r="F1232">
        <v>4</v>
      </c>
      <c r="J1232">
        <f t="shared" si="42"/>
        <v>20000001228</v>
      </c>
      <c r="K1232">
        <v>1229</v>
      </c>
    </row>
    <row r="1233" spans="1:11" x14ac:dyDescent="0.25">
      <c r="A1233" s="8" t="s">
        <v>1030</v>
      </c>
      <c r="B1233" s="8">
        <v>333</v>
      </c>
      <c r="C1233" s="8" t="s">
        <v>1030</v>
      </c>
      <c r="D1233" s="8" t="s">
        <v>2640</v>
      </c>
      <c r="E1233">
        <f t="shared" si="41"/>
        <v>4000001230</v>
      </c>
      <c r="F1233">
        <v>4</v>
      </c>
      <c r="J1233">
        <f t="shared" si="42"/>
        <v>20000001229</v>
      </c>
      <c r="K1233">
        <v>1230</v>
      </c>
    </row>
    <row r="1234" spans="1:11" x14ac:dyDescent="0.25">
      <c r="A1234" s="8" t="s">
        <v>1030</v>
      </c>
      <c r="B1234" s="8">
        <v>382</v>
      </c>
      <c r="C1234" s="8" t="s">
        <v>1030</v>
      </c>
      <c r="D1234" s="8" t="s">
        <v>2641</v>
      </c>
      <c r="E1234">
        <f t="shared" si="41"/>
        <v>4000001231</v>
      </c>
      <c r="F1234">
        <v>4</v>
      </c>
      <c r="J1234">
        <f t="shared" si="42"/>
        <v>20000001230</v>
      </c>
      <c r="K1234">
        <v>1231</v>
      </c>
    </row>
    <row r="1235" spans="1:11" x14ac:dyDescent="0.25">
      <c r="A1235" s="8" t="s">
        <v>1030</v>
      </c>
      <c r="B1235" s="8">
        <v>412</v>
      </c>
      <c r="C1235" s="8" t="s">
        <v>1030</v>
      </c>
      <c r="D1235" s="8" t="s">
        <v>2642</v>
      </c>
      <c r="E1235">
        <f t="shared" si="41"/>
        <v>4000001232</v>
      </c>
      <c r="F1235">
        <v>4</v>
      </c>
      <c r="J1235">
        <f t="shared" si="42"/>
        <v>20000001231</v>
      </c>
      <c r="K1235">
        <v>1232</v>
      </c>
    </row>
    <row r="1236" spans="1:11" x14ac:dyDescent="0.25">
      <c r="A1236" s="8" t="s">
        <v>1030</v>
      </c>
      <c r="B1236" s="8">
        <v>413</v>
      </c>
      <c r="C1236" s="8" t="s">
        <v>1030</v>
      </c>
      <c r="D1236" s="8" t="s">
        <v>2643</v>
      </c>
      <c r="E1236">
        <f t="shared" si="41"/>
        <v>4000001233</v>
      </c>
      <c r="F1236">
        <v>4</v>
      </c>
      <c r="J1236">
        <f t="shared" si="42"/>
        <v>20000001232</v>
      </c>
      <c r="K1236">
        <v>1233</v>
      </c>
    </row>
    <row r="1237" spans="1:11" x14ac:dyDescent="0.25">
      <c r="A1237" s="8" t="s">
        <v>1030</v>
      </c>
      <c r="B1237" s="8" t="s">
        <v>1322</v>
      </c>
      <c r="C1237" s="8" t="s">
        <v>1030</v>
      </c>
      <c r="D1237" s="8" t="s">
        <v>2644</v>
      </c>
      <c r="E1237">
        <f t="shared" si="41"/>
        <v>4000001234</v>
      </c>
      <c r="F1237">
        <v>4</v>
      </c>
      <c r="J1237">
        <f t="shared" si="42"/>
        <v>20000001233</v>
      </c>
      <c r="K1237">
        <v>1234</v>
      </c>
    </row>
    <row r="1238" spans="1:11" x14ac:dyDescent="0.25">
      <c r="A1238" s="8" t="s">
        <v>1030</v>
      </c>
      <c r="B1238" s="8" t="s">
        <v>1323</v>
      </c>
      <c r="C1238" s="8" t="s">
        <v>1030</v>
      </c>
      <c r="D1238" s="8" t="s">
        <v>2645</v>
      </c>
      <c r="E1238">
        <f t="shared" si="41"/>
        <v>4000001235</v>
      </c>
      <c r="F1238">
        <v>4</v>
      </c>
      <c r="J1238">
        <f t="shared" si="42"/>
        <v>20000001234</v>
      </c>
      <c r="K1238">
        <v>1235</v>
      </c>
    </row>
    <row r="1239" spans="1:11" x14ac:dyDescent="0.25">
      <c r="A1239" s="8" t="s">
        <v>1030</v>
      </c>
      <c r="B1239" s="8">
        <v>454</v>
      </c>
      <c r="C1239" s="8" t="s">
        <v>1030</v>
      </c>
      <c r="D1239" s="8" t="s">
        <v>2646</v>
      </c>
      <c r="E1239">
        <f t="shared" si="41"/>
        <v>4000001236</v>
      </c>
      <c r="F1239">
        <v>4</v>
      </c>
      <c r="J1239">
        <f t="shared" si="42"/>
        <v>20000001235</v>
      </c>
      <c r="K1239">
        <v>1236</v>
      </c>
    </row>
    <row r="1240" spans="1:11" x14ac:dyDescent="0.25">
      <c r="A1240" s="8" t="s">
        <v>1030</v>
      </c>
      <c r="B1240" s="8">
        <v>462</v>
      </c>
      <c r="C1240" s="8" t="s">
        <v>1030</v>
      </c>
      <c r="D1240" s="8" t="s">
        <v>2647</v>
      </c>
      <c r="E1240">
        <f t="shared" si="41"/>
        <v>4000001237</v>
      </c>
      <c r="F1240">
        <v>4</v>
      </c>
      <c r="J1240">
        <f t="shared" si="42"/>
        <v>20000001236</v>
      </c>
      <c r="K1240">
        <v>1237</v>
      </c>
    </row>
    <row r="1241" spans="1:11" x14ac:dyDescent="0.25">
      <c r="A1241" s="8" t="s">
        <v>1030</v>
      </c>
      <c r="B1241" s="8">
        <v>463</v>
      </c>
      <c r="C1241" s="8" t="s">
        <v>1030</v>
      </c>
      <c r="D1241" s="8" t="s">
        <v>2648</v>
      </c>
      <c r="E1241">
        <f t="shared" si="41"/>
        <v>4000001238</v>
      </c>
      <c r="F1241">
        <v>4</v>
      </c>
      <c r="J1241">
        <f t="shared" si="42"/>
        <v>20000001237</v>
      </c>
      <c r="K1241">
        <v>1238</v>
      </c>
    </row>
    <row r="1242" spans="1:11" x14ac:dyDescent="0.25">
      <c r="A1242" s="8" t="s">
        <v>1030</v>
      </c>
      <c r="B1242" s="8">
        <v>472</v>
      </c>
      <c r="C1242" s="8" t="s">
        <v>1030</v>
      </c>
      <c r="D1242" s="8" t="s">
        <v>2649</v>
      </c>
      <c r="E1242">
        <f t="shared" si="41"/>
        <v>4000001239</v>
      </c>
      <c r="F1242">
        <v>4</v>
      </c>
      <c r="J1242">
        <f t="shared" si="42"/>
        <v>20000001238</v>
      </c>
      <c r="K1242">
        <v>1239</v>
      </c>
    </row>
    <row r="1243" spans="1:11" x14ac:dyDescent="0.25">
      <c r="A1243" s="8" t="s">
        <v>1030</v>
      </c>
      <c r="B1243" s="8">
        <v>473</v>
      </c>
      <c r="C1243" s="8" t="s">
        <v>1030</v>
      </c>
      <c r="D1243" s="8" t="s">
        <v>2650</v>
      </c>
      <c r="E1243">
        <f t="shared" si="41"/>
        <v>4000001240</v>
      </c>
      <c r="F1243">
        <v>4</v>
      </c>
      <c r="J1243">
        <f t="shared" si="42"/>
        <v>20000001239</v>
      </c>
      <c r="K1243">
        <v>1240</v>
      </c>
    </row>
    <row r="1244" spans="1:11" x14ac:dyDescent="0.25">
      <c r="A1244" s="8" t="s">
        <v>1030</v>
      </c>
      <c r="B1244" s="8">
        <v>474</v>
      </c>
      <c r="C1244" s="8" t="s">
        <v>1030</v>
      </c>
      <c r="D1244" s="8" t="s">
        <v>2651</v>
      </c>
      <c r="E1244">
        <f t="shared" si="41"/>
        <v>4000001241</v>
      </c>
      <c r="F1244">
        <v>4</v>
      </c>
      <c r="J1244">
        <f t="shared" si="42"/>
        <v>20000001240</v>
      </c>
      <c r="K1244">
        <v>1241</v>
      </c>
    </row>
    <row r="1245" spans="1:11" x14ac:dyDescent="0.25">
      <c r="A1245" s="8" t="s">
        <v>1030</v>
      </c>
      <c r="B1245" s="8">
        <v>492</v>
      </c>
      <c r="C1245" s="8" t="s">
        <v>1030</v>
      </c>
      <c r="D1245" s="8" t="s">
        <v>2652</v>
      </c>
      <c r="E1245">
        <f t="shared" si="41"/>
        <v>4000001242</v>
      </c>
      <c r="F1245">
        <v>4</v>
      </c>
      <c r="J1245">
        <f t="shared" si="42"/>
        <v>20000001241</v>
      </c>
      <c r="K1245">
        <v>1242</v>
      </c>
    </row>
    <row r="1246" spans="1:11" x14ac:dyDescent="0.25">
      <c r="A1246" s="8" t="s">
        <v>1030</v>
      </c>
      <c r="B1246" s="8">
        <v>493</v>
      </c>
      <c r="C1246" s="8" t="s">
        <v>1030</v>
      </c>
      <c r="D1246" s="8" t="s">
        <v>2653</v>
      </c>
      <c r="E1246">
        <f t="shared" si="41"/>
        <v>4000001243</v>
      </c>
      <c r="F1246">
        <v>4</v>
      </c>
      <c r="J1246">
        <f t="shared" si="42"/>
        <v>20000001242</v>
      </c>
      <c r="K1246">
        <v>1243</v>
      </c>
    </row>
    <row r="1247" spans="1:11" x14ac:dyDescent="0.25">
      <c r="A1247" s="8" t="s">
        <v>1030</v>
      </c>
      <c r="B1247" s="8">
        <v>494</v>
      </c>
      <c r="C1247" s="8" t="s">
        <v>1030</v>
      </c>
      <c r="D1247" s="8" t="s">
        <v>2654</v>
      </c>
      <c r="E1247">
        <f t="shared" si="41"/>
        <v>4000001244</v>
      </c>
      <c r="F1247">
        <v>4</v>
      </c>
      <c r="J1247">
        <f t="shared" si="42"/>
        <v>20000001243</v>
      </c>
      <c r="K1247">
        <v>1244</v>
      </c>
    </row>
    <row r="1248" spans="1:11" x14ac:dyDescent="0.25">
      <c r="A1248" s="8" t="s">
        <v>1030</v>
      </c>
      <c r="B1248" s="8">
        <v>512</v>
      </c>
      <c r="C1248" s="8" t="s">
        <v>1030</v>
      </c>
      <c r="D1248" s="8" t="s">
        <v>2655</v>
      </c>
      <c r="E1248">
        <f t="shared" si="41"/>
        <v>4000001245</v>
      </c>
      <c r="F1248">
        <v>4</v>
      </c>
      <c r="J1248">
        <f t="shared" si="42"/>
        <v>20000001244</v>
      </c>
      <c r="K1248">
        <v>1245</v>
      </c>
    </row>
    <row r="1249" spans="1:11" x14ac:dyDescent="0.25">
      <c r="A1249" s="8" t="s">
        <v>1030</v>
      </c>
      <c r="B1249" s="8">
        <v>513</v>
      </c>
      <c r="C1249" s="8" t="s">
        <v>1030</v>
      </c>
      <c r="D1249" s="8" t="s">
        <v>2656</v>
      </c>
      <c r="E1249">
        <f t="shared" si="41"/>
        <v>4000001246</v>
      </c>
      <c r="F1249">
        <v>4</v>
      </c>
      <c r="J1249">
        <f t="shared" si="42"/>
        <v>20000001245</v>
      </c>
      <c r="K1249">
        <v>1246</v>
      </c>
    </row>
    <row r="1250" spans="1:11" x14ac:dyDescent="0.25">
      <c r="A1250" s="8" t="s">
        <v>1030</v>
      </c>
      <c r="B1250" s="8">
        <v>52</v>
      </c>
      <c r="C1250" s="8" t="s">
        <v>1030</v>
      </c>
      <c r="D1250" s="8" t="s">
        <v>2657</v>
      </c>
      <c r="E1250">
        <f t="shared" si="41"/>
        <v>4000001247</v>
      </c>
      <c r="F1250">
        <v>4</v>
      </c>
      <c r="J1250">
        <f t="shared" si="42"/>
        <v>20000001246</v>
      </c>
      <c r="K1250">
        <v>1247</v>
      </c>
    </row>
    <row r="1251" spans="1:11" x14ac:dyDescent="0.25">
      <c r="A1251" s="8" t="s">
        <v>1030</v>
      </c>
      <c r="B1251" s="8">
        <v>522</v>
      </c>
      <c r="C1251" s="8" t="s">
        <v>1030</v>
      </c>
      <c r="D1251" s="8" t="s">
        <v>2658</v>
      </c>
      <c r="E1251">
        <f t="shared" si="41"/>
        <v>4000001248</v>
      </c>
      <c r="F1251">
        <v>4</v>
      </c>
      <c r="J1251">
        <f t="shared" si="42"/>
        <v>20000001247</v>
      </c>
      <c r="K1251">
        <v>1248</v>
      </c>
    </row>
    <row r="1252" spans="1:11" x14ac:dyDescent="0.25">
      <c r="A1252" s="8" t="s">
        <v>1030</v>
      </c>
      <c r="B1252" s="8">
        <v>524</v>
      </c>
      <c r="C1252" s="8" t="s">
        <v>1030</v>
      </c>
      <c r="D1252" s="8" t="s">
        <v>2659</v>
      </c>
      <c r="E1252">
        <f t="shared" si="41"/>
        <v>4000001249</v>
      </c>
      <c r="F1252">
        <v>4</v>
      </c>
      <c r="J1252">
        <f t="shared" si="42"/>
        <v>20000001248</v>
      </c>
      <c r="K1252">
        <v>1249</v>
      </c>
    </row>
    <row r="1253" spans="1:11" x14ac:dyDescent="0.25">
      <c r="A1253" s="8" t="s">
        <v>1030</v>
      </c>
      <c r="B1253" s="8">
        <v>53</v>
      </c>
      <c r="C1253" s="8" t="s">
        <v>1030</v>
      </c>
      <c r="D1253" s="8" t="s">
        <v>2660</v>
      </c>
      <c r="E1253">
        <f t="shared" si="41"/>
        <v>4000001250</v>
      </c>
      <c r="F1253">
        <v>4</v>
      </c>
      <c r="J1253">
        <f t="shared" si="42"/>
        <v>20000001249</v>
      </c>
      <c r="K1253">
        <v>1250</v>
      </c>
    </row>
    <row r="1254" spans="1:11" x14ac:dyDescent="0.25">
      <c r="A1254" s="8" t="s">
        <v>1030</v>
      </c>
      <c r="B1254" s="8">
        <v>532</v>
      </c>
      <c r="C1254" s="8" t="s">
        <v>1030</v>
      </c>
      <c r="D1254" s="8" t="s">
        <v>2661</v>
      </c>
      <c r="E1254">
        <f t="shared" si="41"/>
        <v>4000001251</v>
      </c>
      <c r="F1254">
        <v>4</v>
      </c>
      <c r="J1254">
        <f t="shared" si="42"/>
        <v>20000001250</v>
      </c>
      <c r="K1254">
        <v>1251</v>
      </c>
    </row>
    <row r="1255" spans="1:11" x14ac:dyDescent="0.25">
      <c r="A1255" s="8" t="s">
        <v>1030</v>
      </c>
      <c r="B1255" s="8">
        <v>533</v>
      </c>
      <c r="C1255" s="8" t="s">
        <v>1030</v>
      </c>
      <c r="D1255" s="8" t="s">
        <v>2662</v>
      </c>
      <c r="E1255">
        <f t="shared" si="41"/>
        <v>4000001252</v>
      </c>
      <c r="F1255">
        <v>4</v>
      </c>
      <c r="J1255">
        <f t="shared" si="42"/>
        <v>20000001251</v>
      </c>
      <c r="K1255">
        <v>1252</v>
      </c>
    </row>
    <row r="1256" spans="1:11" x14ac:dyDescent="0.25">
      <c r="A1256" s="8" t="s">
        <v>1030</v>
      </c>
      <c r="B1256" s="8">
        <v>534</v>
      </c>
      <c r="C1256" s="8" t="s">
        <v>1030</v>
      </c>
      <c r="D1256" s="8" t="s">
        <v>2663</v>
      </c>
      <c r="E1256">
        <f t="shared" si="41"/>
        <v>4000001253</v>
      </c>
      <c r="F1256">
        <v>4</v>
      </c>
      <c r="J1256">
        <f t="shared" si="42"/>
        <v>20000001252</v>
      </c>
      <c r="K1256">
        <v>1253</v>
      </c>
    </row>
    <row r="1257" spans="1:11" x14ac:dyDescent="0.25">
      <c r="A1257" s="8" t="s">
        <v>1030</v>
      </c>
      <c r="B1257" s="8">
        <v>54</v>
      </c>
      <c r="C1257" s="8" t="s">
        <v>1030</v>
      </c>
      <c r="D1257" s="8" t="s">
        <v>2664</v>
      </c>
      <c r="E1257">
        <f t="shared" si="41"/>
        <v>4000001254</v>
      </c>
      <c r="F1257">
        <v>4</v>
      </c>
      <c r="J1257">
        <f t="shared" si="42"/>
        <v>20000001253</v>
      </c>
      <c r="K1257">
        <v>1254</v>
      </c>
    </row>
    <row r="1258" spans="1:11" x14ac:dyDescent="0.25">
      <c r="A1258" s="8" t="s">
        <v>1030</v>
      </c>
      <c r="B1258" s="8" t="s">
        <v>1324</v>
      </c>
      <c r="C1258" s="8" t="s">
        <v>1030</v>
      </c>
      <c r="D1258" s="8" t="s">
        <v>2665</v>
      </c>
      <c r="E1258">
        <f t="shared" si="41"/>
        <v>4000001255</v>
      </c>
      <c r="F1258">
        <v>4</v>
      </c>
      <c r="J1258">
        <f t="shared" si="42"/>
        <v>20000001254</v>
      </c>
      <c r="K1258">
        <v>1255</v>
      </c>
    </row>
    <row r="1259" spans="1:11" x14ac:dyDescent="0.25">
      <c r="A1259" s="8" t="s">
        <v>1030</v>
      </c>
      <c r="B1259" s="8" t="s">
        <v>1325</v>
      </c>
      <c r="C1259" s="8" t="s">
        <v>1030</v>
      </c>
      <c r="D1259" s="8" t="s">
        <v>2666</v>
      </c>
      <c r="E1259">
        <f t="shared" si="41"/>
        <v>4000001256</v>
      </c>
      <c r="F1259">
        <v>4</v>
      </c>
      <c r="J1259">
        <f t="shared" si="42"/>
        <v>20000001255</v>
      </c>
      <c r="K1259">
        <v>1256</v>
      </c>
    </row>
    <row r="1260" spans="1:11" x14ac:dyDescent="0.25">
      <c r="A1260" s="8" t="s">
        <v>1030</v>
      </c>
      <c r="B1260" s="8" t="s">
        <v>1326</v>
      </c>
      <c r="C1260" s="8" t="s">
        <v>1030</v>
      </c>
      <c r="D1260" s="8" t="s">
        <v>2667</v>
      </c>
      <c r="E1260">
        <f t="shared" si="41"/>
        <v>4000001257</v>
      </c>
      <c r="F1260">
        <v>4</v>
      </c>
      <c r="J1260">
        <f t="shared" si="42"/>
        <v>20000001256</v>
      </c>
      <c r="K1260">
        <v>1257</v>
      </c>
    </row>
    <row r="1261" spans="1:11" x14ac:dyDescent="0.25">
      <c r="A1261" s="8" t="s">
        <v>1030</v>
      </c>
      <c r="B1261" s="8" t="s">
        <v>1327</v>
      </c>
      <c r="C1261" s="8" t="s">
        <v>1030</v>
      </c>
      <c r="D1261" s="8" t="s">
        <v>2668</v>
      </c>
      <c r="E1261">
        <f t="shared" si="41"/>
        <v>4000001258</v>
      </c>
      <c r="F1261">
        <v>4</v>
      </c>
      <c r="J1261">
        <f t="shared" si="42"/>
        <v>20000001257</v>
      </c>
      <c r="K1261">
        <v>1258</v>
      </c>
    </row>
    <row r="1262" spans="1:11" x14ac:dyDescent="0.25">
      <c r="A1262" s="8" t="s">
        <v>1030</v>
      </c>
      <c r="B1262" s="8">
        <v>604</v>
      </c>
      <c r="C1262" s="8" t="s">
        <v>1030</v>
      </c>
      <c r="D1262" s="8" t="s">
        <v>2669</v>
      </c>
      <c r="E1262">
        <f t="shared" si="41"/>
        <v>4000001259</v>
      </c>
      <c r="F1262">
        <v>4</v>
      </c>
      <c r="J1262">
        <f t="shared" si="42"/>
        <v>20000001258</v>
      </c>
      <c r="K1262">
        <v>1259</v>
      </c>
    </row>
    <row r="1263" spans="1:11" x14ac:dyDescent="0.25">
      <c r="A1263" s="8" t="s">
        <v>1030</v>
      </c>
      <c r="B1263" s="8">
        <v>606</v>
      </c>
      <c r="C1263" s="8" t="s">
        <v>1030</v>
      </c>
      <c r="D1263" s="8" t="s">
        <v>2670</v>
      </c>
      <c r="E1263">
        <f t="shared" si="41"/>
        <v>4000001260</v>
      </c>
      <c r="F1263">
        <v>4</v>
      </c>
      <c r="J1263">
        <f t="shared" si="42"/>
        <v>20000001259</v>
      </c>
      <c r="K1263">
        <v>1260</v>
      </c>
    </row>
    <row r="1264" spans="1:11" x14ac:dyDescent="0.25">
      <c r="A1264" s="8" t="s">
        <v>1030</v>
      </c>
      <c r="B1264" s="8" t="s">
        <v>848</v>
      </c>
      <c r="C1264" s="8" t="s">
        <v>1030</v>
      </c>
      <c r="D1264" s="8" t="s">
        <v>2671</v>
      </c>
      <c r="E1264">
        <f t="shared" si="41"/>
        <v>4000001261</v>
      </c>
      <c r="F1264">
        <v>4</v>
      </c>
      <c r="J1264">
        <f t="shared" si="42"/>
        <v>20000001260</v>
      </c>
      <c r="K1264">
        <v>1261</v>
      </c>
    </row>
    <row r="1265" spans="1:11" x14ac:dyDescent="0.25">
      <c r="A1265" s="8" t="s">
        <v>1030</v>
      </c>
      <c r="B1265" s="8">
        <v>642</v>
      </c>
      <c r="C1265" s="8" t="s">
        <v>1030</v>
      </c>
      <c r="D1265" s="8" t="s">
        <v>2672</v>
      </c>
      <c r="E1265">
        <f t="shared" si="41"/>
        <v>4000001262</v>
      </c>
      <c r="F1265">
        <v>4</v>
      </c>
      <c r="J1265">
        <f t="shared" si="42"/>
        <v>20000001261</v>
      </c>
      <c r="K1265">
        <v>1262</v>
      </c>
    </row>
    <row r="1266" spans="1:11" x14ac:dyDescent="0.25">
      <c r="A1266" s="8" t="s">
        <v>1030</v>
      </c>
      <c r="B1266" s="8">
        <v>6452</v>
      </c>
      <c r="C1266" s="8" t="s">
        <v>1030</v>
      </c>
      <c r="D1266" s="8" t="s">
        <v>2673</v>
      </c>
      <c r="E1266">
        <f t="shared" si="41"/>
        <v>4000001263</v>
      </c>
      <c r="F1266">
        <v>4</v>
      </c>
      <c r="J1266">
        <f t="shared" si="42"/>
        <v>20000001262</v>
      </c>
      <c r="K1266">
        <v>1263</v>
      </c>
    </row>
    <row r="1267" spans="1:11" x14ac:dyDescent="0.25">
      <c r="A1267" s="8" t="s">
        <v>1030</v>
      </c>
      <c r="B1267" s="8">
        <v>64522</v>
      </c>
      <c r="C1267" s="8" t="s">
        <v>1030</v>
      </c>
      <c r="D1267" s="8" t="s">
        <v>2674</v>
      </c>
      <c r="E1267">
        <f t="shared" si="41"/>
        <v>4000001264</v>
      </c>
      <c r="F1267">
        <v>4</v>
      </c>
      <c r="J1267">
        <f t="shared" si="42"/>
        <v>20000001263</v>
      </c>
      <c r="K1267">
        <v>1264</v>
      </c>
    </row>
    <row r="1268" spans="1:11" x14ac:dyDescent="0.25">
      <c r="A1268" s="8" t="s">
        <v>1030</v>
      </c>
      <c r="B1268" s="8">
        <v>6453</v>
      </c>
      <c r="C1268" s="8" t="s">
        <v>1030</v>
      </c>
      <c r="D1268" s="8" t="s">
        <v>2675</v>
      </c>
      <c r="E1268">
        <f t="shared" si="41"/>
        <v>4000001265</v>
      </c>
      <c r="F1268">
        <v>4</v>
      </c>
      <c r="J1268">
        <f t="shared" si="42"/>
        <v>20000001264</v>
      </c>
      <c r="K1268">
        <v>1265</v>
      </c>
    </row>
    <row r="1269" spans="1:11" x14ac:dyDescent="0.25">
      <c r="A1269" s="8" t="s">
        <v>1030</v>
      </c>
      <c r="B1269" s="8">
        <v>6454</v>
      </c>
      <c r="C1269" s="8" t="s">
        <v>1030</v>
      </c>
      <c r="D1269" s="8" t="s">
        <v>2676</v>
      </c>
      <c r="E1269">
        <f t="shared" si="41"/>
        <v>4000001266</v>
      </c>
      <c r="F1269">
        <v>4</v>
      </c>
      <c r="J1269">
        <f t="shared" si="42"/>
        <v>20000001265</v>
      </c>
      <c r="K1269">
        <v>1266</v>
      </c>
    </row>
    <row r="1270" spans="1:11" x14ac:dyDescent="0.25">
      <c r="A1270" s="8" t="s">
        <v>1030</v>
      </c>
      <c r="B1270" s="8" t="s">
        <v>1328</v>
      </c>
      <c r="C1270" s="8" t="s">
        <v>1030</v>
      </c>
      <c r="D1270" s="8" t="s">
        <v>2677</v>
      </c>
      <c r="E1270">
        <f t="shared" si="41"/>
        <v>4000001267</v>
      </c>
      <c r="F1270">
        <v>4</v>
      </c>
      <c r="J1270">
        <f t="shared" si="42"/>
        <v>20000001266</v>
      </c>
      <c r="K1270">
        <v>1267</v>
      </c>
    </row>
    <row r="1271" spans="1:11" x14ac:dyDescent="0.25">
      <c r="A1271" s="8" t="s">
        <v>1030</v>
      </c>
      <c r="B1271" s="8" t="s">
        <v>1329</v>
      </c>
      <c r="C1271" s="8" t="s">
        <v>1030</v>
      </c>
      <c r="D1271" s="8" t="s">
        <v>2678</v>
      </c>
      <c r="E1271">
        <f t="shared" si="41"/>
        <v>4000001268</v>
      </c>
      <c r="F1271">
        <v>4</v>
      </c>
      <c r="J1271">
        <f t="shared" si="42"/>
        <v>20000001267</v>
      </c>
      <c r="K1271">
        <v>1268</v>
      </c>
    </row>
    <row r="1272" spans="1:11" x14ac:dyDescent="0.25">
      <c r="A1272" s="8" t="s">
        <v>1030</v>
      </c>
      <c r="B1272" s="8" t="s">
        <v>1330</v>
      </c>
      <c r="C1272" s="8" t="s">
        <v>1030</v>
      </c>
      <c r="D1272" s="8" t="s">
        <v>2679</v>
      </c>
      <c r="E1272">
        <f t="shared" si="41"/>
        <v>4000001269</v>
      </c>
      <c r="F1272">
        <v>4</v>
      </c>
      <c r="J1272">
        <f t="shared" si="42"/>
        <v>20000001268</v>
      </c>
      <c r="K1272">
        <v>1269</v>
      </c>
    </row>
    <row r="1273" spans="1:11" x14ac:dyDescent="0.25">
      <c r="A1273" s="8" t="s">
        <v>1030</v>
      </c>
      <c r="B1273" s="8" t="s">
        <v>1331</v>
      </c>
      <c r="C1273" s="8" t="s">
        <v>1030</v>
      </c>
      <c r="D1273" s="8" t="s">
        <v>2680</v>
      </c>
      <c r="E1273">
        <f t="shared" si="41"/>
        <v>4000001270</v>
      </c>
      <c r="F1273">
        <v>4</v>
      </c>
      <c r="J1273">
        <f t="shared" si="42"/>
        <v>20000001269</v>
      </c>
      <c r="K1273">
        <v>1270</v>
      </c>
    </row>
    <row r="1274" spans="1:11" x14ac:dyDescent="0.25">
      <c r="A1274" s="8" t="s">
        <v>1030</v>
      </c>
      <c r="B1274" s="8" t="s">
        <v>1332</v>
      </c>
      <c r="C1274" s="8" t="s">
        <v>1030</v>
      </c>
      <c r="D1274" s="8" t="s">
        <v>2681</v>
      </c>
      <c r="E1274">
        <f t="shared" si="41"/>
        <v>4000001271</v>
      </c>
      <c r="F1274">
        <v>4</v>
      </c>
      <c r="J1274">
        <f t="shared" si="42"/>
        <v>20000001270</v>
      </c>
      <c r="K1274">
        <v>1271</v>
      </c>
    </row>
    <row r="1275" spans="1:11" x14ac:dyDescent="0.25">
      <c r="A1275" s="8" t="s">
        <v>1030</v>
      </c>
      <c r="B1275" s="8" t="s">
        <v>1333</v>
      </c>
      <c r="C1275" s="8" t="s">
        <v>1030</v>
      </c>
      <c r="D1275" s="8" t="s">
        <v>2682</v>
      </c>
      <c r="E1275">
        <f t="shared" si="41"/>
        <v>4000001272</v>
      </c>
      <c r="F1275">
        <v>4</v>
      </c>
      <c r="J1275">
        <f t="shared" si="42"/>
        <v>20000001271</v>
      </c>
      <c r="K1275">
        <v>1272</v>
      </c>
    </row>
    <row r="1276" spans="1:11" x14ac:dyDescent="0.25">
      <c r="A1276" s="8" t="s">
        <v>1030</v>
      </c>
      <c r="B1276" s="8" t="s">
        <v>1334</v>
      </c>
      <c r="C1276" s="8" t="s">
        <v>1030</v>
      </c>
      <c r="D1276" s="8" t="s">
        <v>2683</v>
      </c>
      <c r="E1276">
        <f t="shared" si="41"/>
        <v>4000001273</v>
      </c>
      <c r="F1276">
        <v>4</v>
      </c>
      <c r="J1276">
        <f t="shared" si="42"/>
        <v>20000001272</v>
      </c>
      <c r="K1276">
        <v>1273</v>
      </c>
    </row>
    <row r="1277" spans="1:11" x14ac:dyDescent="0.25">
      <c r="A1277" s="8" t="s">
        <v>1030</v>
      </c>
      <c r="B1277" s="8" t="s">
        <v>1335</v>
      </c>
      <c r="C1277" s="8" t="s">
        <v>1030</v>
      </c>
      <c r="D1277" s="8" t="s">
        <v>2684</v>
      </c>
      <c r="E1277">
        <f t="shared" si="41"/>
        <v>4000001274</v>
      </c>
      <c r="F1277">
        <v>4</v>
      </c>
      <c r="J1277">
        <f t="shared" si="42"/>
        <v>20000001273</v>
      </c>
      <c r="K1277">
        <v>1274</v>
      </c>
    </row>
    <row r="1278" spans="1:11" x14ac:dyDescent="0.25">
      <c r="A1278" s="8" t="s">
        <v>1030</v>
      </c>
      <c r="B1278" s="8">
        <v>711</v>
      </c>
      <c r="C1278" s="8" t="s">
        <v>1030</v>
      </c>
      <c r="D1278" s="8" t="s">
        <v>2685</v>
      </c>
      <c r="E1278">
        <f t="shared" si="41"/>
        <v>4000001275</v>
      </c>
      <c r="F1278">
        <v>4</v>
      </c>
      <c r="J1278">
        <f t="shared" si="42"/>
        <v>20000001274</v>
      </c>
      <c r="K1278">
        <v>1275</v>
      </c>
    </row>
    <row r="1279" spans="1:11" x14ac:dyDescent="0.25">
      <c r="A1279" s="8" t="s">
        <v>1030</v>
      </c>
      <c r="B1279" s="8">
        <v>712</v>
      </c>
      <c r="C1279" s="8" t="s">
        <v>1030</v>
      </c>
      <c r="D1279" s="8" t="s">
        <v>2686</v>
      </c>
      <c r="E1279">
        <f t="shared" si="41"/>
        <v>4000001276</v>
      </c>
      <c r="F1279">
        <v>4</v>
      </c>
      <c r="J1279">
        <f t="shared" si="42"/>
        <v>20000001275</v>
      </c>
      <c r="K1279">
        <v>1276</v>
      </c>
    </row>
    <row r="1280" spans="1:11" x14ac:dyDescent="0.25">
      <c r="A1280" s="8" t="s">
        <v>1030</v>
      </c>
      <c r="B1280" s="8">
        <v>713</v>
      </c>
      <c r="C1280" s="8" t="s">
        <v>1030</v>
      </c>
      <c r="D1280" s="8" t="s">
        <v>2687</v>
      </c>
      <c r="E1280">
        <f t="shared" si="41"/>
        <v>4000001277</v>
      </c>
      <c r="F1280">
        <v>4</v>
      </c>
      <c r="J1280">
        <f t="shared" si="42"/>
        <v>20000001276</v>
      </c>
      <c r="K1280">
        <v>1277</v>
      </c>
    </row>
    <row r="1281" spans="1:11" x14ac:dyDescent="0.25">
      <c r="A1281" s="8" t="s">
        <v>1030</v>
      </c>
      <c r="B1281" s="8">
        <v>714</v>
      </c>
      <c r="C1281" s="8" t="s">
        <v>1030</v>
      </c>
      <c r="D1281" s="8" t="s">
        <v>2688</v>
      </c>
      <c r="E1281">
        <f t="shared" si="41"/>
        <v>4000001278</v>
      </c>
      <c r="F1281">
        <v>4</v>
      </c>
      <c r="J1281">
        <f t="shared" si="42"/>
        <v>20000001277</v>
      </c>
      <c r="K1281">
        <v>1278</v>
      </c>
    </row>
    <row r="1282" spans="1:11" x14ac:dyDescent="0.25">
      <c r="A1282" s="8" t="s">
        <v>1030</v>
      </c>
      <c r="B1282" s="8">
        <v>715</v>
      </c>
      <c r="C1282" s="8" t="s">
        <v>1030</v>
      </c>
      <c r="D1282" s="8" t="s">
        <v>2689</v>
      </c>
      <c r="E1282">
        <f t="shared" si="41"/>
        <v>4000001279</v>
      </c>
      <c r="F1282">
        <v>4</v>
      </c>
      <c r="J1282">
        <f t="shared" si="42"/>
        <v>20000001278</v>
      </c>
      <c r="K1282">
        <v>1279</v>
      </c>
    </row>
    <row r="1283" spans="1:11" x14ac:dyDescent="0.25">
      <c r="A1283" s="8" t="s">
        <v>1030</v>
      </c>
      <c r="B1283" s="8">
        <v>82</v>
      </c>
      <c r="C1283" s="8" t="s">
        <v>1030</v>
      </c>
      <c r="D1283" s="8" t="s">
        <v>2690</v>
      </c>
      <c r="E1283">
        <f t="shared" si="41"/>
        <v>4000001280</v>
      </c>
      <c r="F1283">
        <v>4</v>
      </c>
      <c r="J1283">
        <f t="shared" si="42"/>
        <v>20000001279</v>
      </c>
      <c r="K1283">
        <v>1280</v>
      </c>
    </row>
    <row r="1284" spans="1:11" x14ac:dyDescent="0.25">
      <c r="A1284" s="8" t="s">
        <v>1030</v>
      </c>
      <c r="B1284" s="8">
        <v>83</v>
      </c>
      <c r="C1284" s="8" t="s">
        <v>1030</v>
      </c>
      <c r="D1284" s="8" t="s">
        <v>2691</v>
      </c>
      <c r="E1284">
        <f t="shared" si="41"/>
        <v>4000001281</v>
      </c>
      <c r="F1284">
        <v>4</v>
      </c>
      <c r="J1284">
        <f t="shared" si="42"/>
        <v>20000001280</v>
      </c>
      <c r="K1284">
        <v>1281</v>
      </c>
    </row>
    <row r="1285" spans="1:11" x14ac:dyDescent="0.25">
      <c r="A1285" s="8" t="s">
        <v>1030</v>
      </c>
      <c r="B1285" s="8" t="s">
        <v>1336</v>
      </c>
      <c r="C1285" s="8" t="s">
        <v>1030</v>
      </c>
      <c r="D1285" s="8" t="s">
        <v>2692</v>
      </c>
      <c r="E1285">
        <f t="shared" ref="E1285:E1348" si="43">IF(F1285="",J1285,IF(G1285="",F1285*$F$2+K1285,IF(H1285="",F1285*$F$2+G1285*$G$2+K1285,IF(I1285="",F1285*$F$2+G1285*$G$2+H1285*$H$2+K1285,F1285*$F$2+G1285*$G$2+H1285*$H$2+I1285*$I$2+K1285))))</f>
        <v>4000001282</v>
      </c>
      <c r="F1285">
        <v>4</v>
      </c>
      <c r="J1285">
        <f t="shared" si="42"/>
        <v>20000001281</v>
      </c>
      <c r="K1285">
        <v>1282</v>
      </c>
    </row>
    <row r="1286" spans="1:11" x14ac:dyDescent="0.25">
      <c r="A1286" s="8" t="s">
        <v>1030</v>
      </c>
      <c r="B1286" s="8" t="s">
        <v>1337</v>
      </c>
      <c r="C1286" s="8" t="s">
        <v>1030</v>
      </c>
      <c r="D1286" s="8" t="s">
        <v>2693</v>
      </c>
      <c r="E1286">
        <f t="shared" si="43"/>
        <v>4000001283</v>
      </c>
      <c r="F1286">
        <v>4</v>
      </c>
      <c r="J1286">
        <f t="shared" si="42"/>
        <v>20000001282</v>
      </c>
      <c r="K1286">
        <v>1283</v>
      </c>
    </row>
    <row r="1287" spans="1:11" x14ac:dyDescent="0.25">
      <c r="A1287" s="8" t="s">
        <v>1030</v>
      </c>
      <c r="B1287" s="8">
        <v>833</v>
      </c>
      <c r="C1287" s="8" t="s">
        <v>1030</v>
      </c>
      <c r="D1287" s="8" t="s">
        <v>2694</v>
      </c>
      <c r="E1287">
        <f t="shared" si="43"/>
        <v>4000001284</v>
      </c>
      <c r="F1287">
        <v>4</v>
      </c>
      <c r="J1287">
        <f t="shared" si="42"/>
        <v>20000001283</v>
      </c>
      <c r="K1287">
        <v>1284</v>
      </c>
    </row>
    <row r="1288" spans="1:11" x14ac:dyDescent="0.25">
      <c r="A1288" s="8" t="s">
        <v>1030</v>
      </c>
      <c r="B1288" s="8" t="s">
        <v>1338</v>
      </c>
      <c r="C1288" s="8" t="s">
        <v>1030</v>
      </c>
      <c r="D1288" s="8" t="s">
        <v>2695</v>
      </c>
      <c r="E1288">
        <f t="shared" si="43"/>
        <v>4000001285</v>
      </c>
      <c r="F1288">
        <v>4</v>
      </c>
      <c r="J1288">
        <f t="shared" si="42"/>
        <v>20000001284</v>
      </c>
      <c r="K1288">
        <v>1285</v>
      </c>
    </row>
    <row r="1289" spans="1:11" x14ac:dyDescent="0.25">
      <c r="A1289" s="8" t="s">
        <v>1030</v>
      </c>
      <c r="B1289" s="8" t="s">
        <v>1339</v>
      </c>
      <c r="C1289" s="8" t="s">
        <v>1030</v>
      </c>
      <c r="D1289" s="8" t="s">
        <v>2696</v>
      </c>
      <c r="E1289">
        <f t="shared" si="43"/>
        <v>4000001286</v>
      </c>
      <c r="F1289">
        <v>4</v>
      </c>
      <c r="J1289">
        <f t="shared" ref="J1289:J1352" si="44">J1288+1</f>
        <v>20000001285</v>
      </c>
      <c r="K1289">
        <v>1286</v>
      </c>
    </row>
    <row r="1290" spans="1:11" x14ac:dyDescent="0.25">
      <c r="A1290" s="8" t="s">
        <v>1030</v>
      </c>
      <c r="B1290" s="8">
        <v>836</v>
      </c>
      <c r="C1290" s="8" t="s">
        <v>1030</v>
      </c>
      <c r="D1290" s="8" t="s">
        <v>2697</v>
      </c>
      <c r="E1290">
        <f t="shared" si="43"/>
        <v>4000001287</v>
      </c>
      <c r="F1290">
        <v>4</v>
      </c>
      <c r="J1290">
        <f t="shared" si="44"/>
        <v>20000001286</v>
      </c>
      <c r="K1290">
        <v>1287</v>
      </c>
    </row>
    <row r="1291" spans="1:11" x14ac:dyDescent="0.25">
      <c r="A1291" s="8" t="s">
        <v>1030</v>
      </c>
      <c r="B1291" s="8">
        <v>902</v>
      </c>
      <c r="C1291" s="8" t="s">
        <v>1030</v>
      </c>
      <c r="D1291" s="8" t="s">
        <v>2698</v>
      </c>
      <c r="E1291">
        <f t="shared" si="43"/>
        <v>4000001288</v>
      </c>
      <c r="F1291">
        <v>4</v>
      </c>
      <c r="J1291">
        <f t="shared" si="44"/>
        <v>20000001287</v>
      </c>
      <c r="K1291">
        <v>1288</v>
      </c>
    </row>
    <row r="1292" spans="1:11" x14ac:dyDescent="0.25">
      <c r="A1292" s="8" t="s">
        <v>1030</v>
      </c>
      <c r="B1292" s="8">
        <v>905</v>
      </c>
      <c r="C1292" s="8" t="s">
        <v>1030</v>
      </c>
      <c r="D1292" s="8" t="s">
        <v>2699</v>
      </c>
      <c r="E1292">
        <f t="shared" si="43"/>
        <v>4000001289</v>
      </c>
      <c r="F1292">
        <v>4</v>
      </c>
      <c r="J1292">
        <f t="shared" si="44"/>
        <v>20000001288</v>
      </c>
      <c r="K1292">
        <v>1289</v>
      </c>
    </row>
    <row r="1293" spans="1:11" x14ac:dyDescent="0.25">
      <c r="A1293" s="8" t="s">
        <v>1030</v>
      </c>
      <c r="B1293" s="8">
        <v>908</v>
      </c>
      <c r="C1293" s="8" t="s">
        <v>1030</v>
      </c>
      <c r="D1293" s="8" t="s">
        <v>2700</v>
      </c>
      <c r="E1293">
        <f t="shared" si="43"/>
        <v>4000001290</v>
      </c>
      <c r="F1293">
        <v>4</v>
      </c>
      <c r="J1293">
        <f t="shared" si="44"/>
        <v>20000001289</v>
      </c>
      <c r="K1293">
        <v>1290</v>
      </c>
    </row>
    <row r="1294" spans="1:11" x14ac:dyDescent="0.25">
      <c r="A1294" s="8" t="s">
        <v>1030</v>
      </c>
      <c r="B1294" s="8">
        <v>911</v>
      </c>
      <c r="C1294" s="8" t="s">
        <v>1030</v>
      </c>
      <c r="D1294" s="8" t="s">
        <v>2701</v>
      </c>
      <c r="E1294">
        <f t="shared" si="43"/>
        <v>4000001291</v>
      </c>
      <c r="F1294">
        <v>4</v>
      </c>
      <c r="J1294">
        <f t="shared" si="44"/>
        <v>20000001290</v>
      </c>
      <c r="K1294">
        <v>1291</v>
      </c>
    </row>
    <row r="1295" spans="1:11" x14ac:dyDescent="0.25">
      <c r="A1295" s="8" t="s">
        <v>1030</v>
      </c>
      <c r="B1295" s="8">
        <v>920</v>
      </c>
      <c r="C1295" s="8" t="s">
        <v>1030</v>
      </c>
      <c r="D1295" s="8" t="s">
        <v>2702</v>
      </c>
      <c r="E1295">
        <f t="shared" si="43"/>
        <v>4000001292</v>
      </c>
      <c r="F1295">
        <v>4</v>
      </c>
      <c r="J1295">
        <f t="shared" si="44"/>
        <v>20000001291</v>
      </c>
      <c r="K1295">
        <v>1292</v>
      </c>
    </row>
    <row r="1296" spans="1:11" x14ac:dyDescent="0.25">
      <c r="A1296" s="8" t="s">
        <v>1030</v>
      </c>
      <c r="B1296" s="8" t="s">
        <v>849</v>
      </c>
      <c r="C1296" s="8" t="s">
        <v>1030</v>
      </c>
      <c r="D1296" s="8" t="s">
        <v>2703</v>
      </c>
      <c r="E1296">
        <f t="shared" si="43"/>
        <v>4000001293</v>
      </c>
      <c r="F1296">
        <v>4</v>
      </c>
      <c r="J1296">
        <f t="shared" si="44"/>
        <v>20000001292</v>
      </c>
      <c r="K1296">
        <v>1293</v>
      </c>
    </row>
    <row r="1297" spans="1:11" x14ac:dyDescent="0.25">
      <c r="A1297" s="8" t="s">
        <v>1030</v>
      </c>
      <c r="B1297" s="8" t="s">
        <v>909</v>
      </c>
      <c r="C1297" s="8" t="s">
        <v>1030</v>
      </c>
      <c r="D1297" s="8" t="s">
        <v>2704</v>
      </c>
      <c r="E1297">
        <f t="shared" si="43"/>
        <v>4000001294</v>
      </c>
      <c r="F1297">
        <v>4</v>
      </c>
      <c r="J1297">
        <f t="shared" si="44"/>
        <v>20000001293</v>
      </c>
      <c r="K1297">
        <v>1294</v>
      </c>
    </row>
    <row r="1298" spans="1:11" x14ac:dyDescent="0.25">
      <c r="A1298" s="8" t="s">
        <v>1030</v>
      </c>
      <c r="B1298" s="8" t="s">
        <v>558</v>
      </c>
      <c r="C1298" s="8" t="s">
        <v>1030</v>
      </c>
      <c r="D1298" s="8" t="s">
        <v>2705</v>
      </c>
      <c r="E1298">
        <f t="shared" si="43"/>
        <v>4000001295</v>
      </c>
      <c r="F1298">
        <v>4</v>
      </c>
      <c r="J1298">
        <f t="shared" si="44"/>
        <v>20000001294</v>
      </c>
      <c r="K1298">
        <v>1295</v>
      </c>
    </row>
    <row r="1299" spans="1:11" x14ac:dyDescent="0.25">
      <c r="A1299" s="8" t="s">
        <v>1030</v>
      </c>
      <c r="B1299" s="8" t="s">
        <v>559</v>
      </c>
      <c r="C1299" s="8" t="s">
        <v>1030</v>
      </c>
      <c r="D1299" s="8" t="s">
        <v>2706</v>
      </c>
      <c r="E1299">
        <f t="shared" si="43"/>
        <v>4000001296</v>
      </c>
      <c r="F1299">
        <v>4</v>
      </c>
      <c r="J1299">
        <f t="shared" si="44"/>
        <v>20000001295</v>
      </c>
      <c r="K1299">
        <v>1296</v>
      </c>
    </row>
    <row r="1300" spans="1:11" x14ac:dyDescent="0.25">
      <c r="A1300" s="8" t="s">
        <v>1030</v>
      </c>
      <c r="B1300" s="8" t="s">
        <v>560</v>
      </c>
      <c r="C1300" s="8" t="s">
        <v>1030</v>
      </c>
      <c r="D1300" s="8" t="s">
        <v>2707</v>
      </c>
      <c r="E1300">
        <f t="shared" si="43"/>
        <v>4000001297</v>
      </c>
      <c r="F1300">
        <v>4</v>
      </c>
      <c r="J1300">
        <f t="shared" si="44"/>
        <v>20000001296</v>
      </c>
      <c r="K1300">
        <v>1297</v>
      </c>
    </row>
    <row r="1301" spans="1:11" x14ac:dyDescent="0.25">
      <c r="A1301" s="8" t="s">
        <v>1030</v>
      </c>
      <c r="B1301" s="8" t="s">
        <v>561</v>
      </c>
      <c r="C1301" s="8" t="s">
        <v>1030</v>
      </c>
      <c r="D1301" s="8" t="s">
        <v>2708</v>
      </c>
      <c r="E1301">
        <f t="shared" si="43"/>
        <v>4000001298</v>
      </c>
      <c r="F1301">
        <v>4</v>
      </c>
      <c r="J1301">
        <f t="shared" si="44"/>
        <v>20000001297</v>
      </c>
      <c r="K1301">
        <v>1298</v>
      </c>
    </row>
    <row r="1302" spans="1:11" x14ac:dyDescent="0.25">
      <c r="A1302" s="8" t="s">
        <v>1030</v>
      </c>
      <c r="B1302" s="8" t="s">
        <v>562</v>
      </c>
      <c r="C1302" s="8" t="s">
        <v>1030</v>
      </c>
      <c r="D1302" s="8" t="s">
        <v>2709</v>
      </c>
      <c r="E1302">
        <f t="shared" si="43"/>
        <v>4000001299</v>
      </c>
      <c r="F1302">
        <v>4</v>
      </c>
      <c r="J1302">
        <f t="shared" si="44"/>
        <v>20000001298</v>
      </c>
      <c r="K1302">
        <v>1299</v>
      </c>
    </row>
    <row r="1303" spans="1:11" x14ac:dyDescent="0.25">
      <c r="A1303" s="8" t="s">
        <v>1030</v>
      </c>
      <c r="B1303" s="8" t="s">
        <v>850</v>
      </c>
      <c r="C1303" s="8" t="s">
        <v>1030</v>
      </c>
      <c r="D1303" s="8" t="s">
        <v>2710</v>
      </c>
      <c r="E1303">
        <f t="shared" si="43"/>
        <v>4000001300</v>
      </c>
      <c r="F1303">
        <v>4</v>
      </c>
      <c r="J1303">
        <f t="shared" si="44"/>
        <v>20000001299</v>
      </c>
      <c r="K1303">
        <v>1300</v>
      </c>
    </row>
    <row r="1304" spans="1:11" x14ac:dyDescent="0.25">
      <c r="A1304" s="8" t="s">
        <v>1030</v>
      </c>
      <c r="B1304" s="8" t="s">
        <v>563</v>
      </c>
      <c r="C1304" s="8" t="s">
        <v>1030</v>
      </c>
      <c r="D1304" s="8" t="s">
        <v>2711</v>
      </c>
      <c r="E1304">
        <f t="shared" si="43"/>
        <v>4000001301</v>
      </c>
      <c r="F1304">
        <v>4</v>
      </c>
      <c r="J1304">
        <f t="shared" si="44"/>
        <v>20000001300</v>
      </c>
      <c r="K1304">
        <v>1301</v>
      </c>
    </row>
    <row r="1305" spans="1:11" x14ac:dyDescent="0.25">
      <c r="A1305" s="8" t="s">
        <v>1030</v>
      </c>
      <c r="B1305" s="8" t="s">
        <v>564</v>
      </c>
      <c r="C1305" s="8" t="s">
        <v>1030</v>
      </c>
      <c r="D1305" s="8" t="s">
        <v>2712</v>
      </c>
      <c r="E1305">
        <f t="shared" si="43"/>
        <v>4000001302</v>
      </c>
      <c r="F1305">
        <v>4</v>
      </c>
      <c r="J1305">
        <f t="shared" si="44"/>
        <v>20000001301</v>
      </c>
      <c r="K1305">
        <v>1302</v>
      </c>
    </row>
    <row r="1306" spans="1:11" x14ac:dyDescent="0.25">
      <c r="A1306" s="8" t="s">
        <v>1030</v>
      </c>
      <c r="B1306" s="8" t="s">
        <v>851</v>
      </c>
      <c r="C1306" s="8" t="s">
        <v>1030</v>
      </c>
      <c r="D1306" s="8" t="s">
        <v>2713</v>
      </c>
      <c r="E1306">
        <f t="shared" si="43"/>
        <v>4000001303</v>
      </c>
      <c r="F1306">
        <v>4</v>
      </c>
      <c r="J1306">
        <f t="shared" si="44"/>
        <v>20000001302</v>
      </c>
      <c r="K1306">
        <v>1303</v>
      </c>
    </row>
    <row r="1307" spans="1:11" x14ac:dyDescent="0.25">
      <c r="A1307" s="8" t="s">
        <v>1030</v>
      </c>
      <c r="B1307" s="8" t="s">
        <v>1340</v>
      </c>
      <c r="C1307" s="8" t="s">
        <v>1030</v>
      </c>
      <c r="D1307" s="8" t="s">
        <v>2714</v>
      </c>
      <c r="E1307">
        <f t="shared" si="43"/>
        <v>4000001304</v>
      </c>
      <c r="F1307">
        <v>4</v>
      </c>
      <c r="J1307">
        <f t="shared" si="44"/>
        <v>20000001303</v>
      </c>
      <c r="K1307">
        <v>1304</v>
      </c>
    </row>
    <row r="1308" spans="1:11" x14ac:dyDescent="0.25">
      <c r="A1308" s="8" t="s">
        <v>1030</v>
      </c>
      <c r="B1308" s="8" t="s">
        <v>910</v>
      </c>
      <c r="C1308" s="8" t="s">
        <v>1030</v>
      </c>
      <c r="D1308" s="8" t="s">
        <v>2715</v>
      </c>
      <c r="E1308">
        <f t="shared" si="43"/>
        <v>4000001305</v>
      </c>
      <c r="F1308">
        <v>4</v>
      </c>
      <c r="J1308">
        <f t="shared" si="44"/>
        <v>20000001304</v>
      </c>
      <c r="K1308">
        <v>1305</v>
      </c>
    </row>
    <row r="1309" spans="1:11" x14ac:dyDescent="0.25">
      <c r="A1309" s="8" t="s">
        <v>1030</v>
      </c>
      <c r="B1309" s="8" t="s">
        <v>852</v>
      </c>
      <c r="C1309" s="8" t="s">
        <v>1030</v>
      </c>
      <c r="D1309" s="8" t="s">
        <v>2716</v>
      </c>
      <c r="E1309">
        <f t="shared" si="43"/>
        <v>4000001306</v>
      </c>
      <c r="F1309">
        <v>4</v>
      </c>
      <c r="J1309">
        <f t="shared" si="44"/>
        <v>20000001305</v>
      </c>
      <c r="K1309">
        <v>1306</v>
      </c>
    </row>
    <row r="1310" spans="1:11" x14ac:dyDescent="0.25">
      <c r="A1310" s="8" t="s">
        <v>1030</v>
      </c>
      <c r="B1310" s="8" t="s">
        <v>853</v>
      </c>
      <c r="C1310" s="8" t="s">
        <v>1030</v>
      </c>
      <c r="D1310" s="8" t="s">
        <v>2717</v>
      </c>
      <c r="E1310">
        <f t="shared" si="43"/>
        <v>4000001307</v>
      </c>
      <c r="F1310">
        <v>4</v>
      </c>
      <c r="J1310">
        <f t="shared" si="44"/>
        <v>20000001306</v>
      </c>
      <c r="K1310">
        <v>1307</v>
      </c>
    </row>
    <row r="1311" spans="1:11" x14ac:dyDescent="0.25">
      <c r="A1311" s="8" t="s">
        <v>1030</v>
      </c>
      <c r="B1311" s="8" t="s">
        <v>1341</v>
      </c>
      <c r="C1311" s="8" t="s">
        <v>1030</v>
      </c>
      <c r="D1311" s="8" t="s">
        <v>2718</v>
      </c>
      <c r="E1311">
        <f t="shared" si="43"/>
        <v>4000001308</v>
      </c>
      <c r="F1311">
        <v>4</v>
      </c>
      <c r="J1311">
        <f t="shared" si="44"/>
        <v>20000001307</v>
      </c>
      <c r="K1311">
        <v>1308</v>
      </c>
    </row>
    <row r="1312" spans="1:11" x14ac:dyDescent="0.25">
      <c r="A1312" s="8" t="s">
        <v>1030</v>
      </c>
      <c r="B1312" s="8" t="s">
        <v>854</v>
      </c>
      <c r="C1312" s="8" t="s">
        <v>1030</v>
      </c>
      <c r="D1312" s="8" t="s">
        <v>2719</v>
      </c>
      <c r="E1312">
        <f t="shared" si="43"/>
        <v>4000001309</v>
      </c>
      <c r="F1312">
        <v>4</v>
      </c>
      <c r="J1312">
        <f t="shared" si="44"/>
        <v>20000001308</v>
      </c>
      <c r="K1312">
        <v>1309</v>
      </c>
    </row>
    <row r="1313" spans="1:11" x14ac:dyDescent="0.25">
      <c r="A1313" s="8" t="s">
        <v>1030</v>
      </c>
      <c r="B1313" s="8" t="s">
        <v>855</v>
      </c>
      <c r="C1313" s="8" t="s">
        <v>1030</v>
      </c>
      <c r="D1313" s="8" t="s">
        <v>2720</v>
      </c>
      <c r="E1313">
        <f t="shared" si="43"/>
        <v>4000001310</v>
      </c>
      <c r="F1313">
        <v>4</v>
      </c>
      <c r="J1313">
        <f t="shared" si="44"/>
        <v>20000001309</v>
      </c>
      <c r="K1313">
        <v>1310</v>
      </c>
    </row>
    <row r="1314" spans="1:11" x14ac:dyDescent="0.25">
      <c r="A1314" s="8" t="s">
        <v>1030</v>
      </c>
      <c r="B1314" s="8" t="s">
        <v>1342</v>
      </c>
      <c r="C1314" s="8" t="s">
        <v>1030</v>
      </c>
      <c r="D1314" s="8" t="s">
        <v>2721</v>
      </c>
      <c r="E1314">
        <f t="shared" si="43"/>
        <v>4000001311</v>
      </c>
      <c r="F1314">
        <v>4</v>
      </c>
      <c r="J1314">
        <f t="shared" si="44"/>
        <v>20000001310</v>
      </c>
      <c r="K1314">
        <v>1311</v>
      </c>
    </row>
    <row r="1315" spans="1:11" x14ac:dyDescent="0.25">
      <c r="A1315" s="8" t="s">
        <v>1030</v>
      </c>
      <c r="B1315" s="8" t="s">
        <v>1343</v>
      </c>
      <c r="C1315" s="8" t="s">
        <v>1030</v>
      </c>
      <c r="D1315" s="8" t="s">
        <v>2722</v>
      </c>
      <c r="E1315">
        <f t="shared" si="43"/>
        <v>4000001312</v>
      </c>
      <c r="F1315">
        <v>4</v>
      </c>
      <c r="J1315">
        <f t="shared" si="44"/>
        <v>20000001311</v>
      </c>
      <c r="K1315">
        <v>1312</v>
      </c>
    </row>
    <row r="1316" spans="1:11" x14ac:dyDescent="0.25">
      <c r="A1316" s="8" t="s">
        <v>1030</v>
      </c>
      <c r="B1316" s="8" t="s">
        <v>1344</v>
      </c>
      <c r="C1316" s="8" t="s">
        <v>1030</v>
      </c>
      <c r="D1316" s="8" t="s">
        <v>2723</v>
      </c>
      <c r="E1316">
        <f t="shared" si="43"/>
        <v>4000001313</v>
      </c>
      <c r="F1316">
        <v>4</v>
      </c>
      <c r="J1316">
        <f t="shared" si="44"/>
        <v>20000001312</v>
      </c>
      <c r="K1316">
        <v>1313</v>
      </c>
    </row>
    <row r="1317" spans="1:11" x14ac:dyDescent="0.25">
      <c r="A1317" s="8" t="s">
        <v>1030</v>
      </c>
      <c r="B1317" s="8" t="s">
        <v>856</v>
      </c>
      <c r="C1317" s="8" t="s">
        <v>1030</v>
      </c>
      <c r="D1317" s="8" t="s">
        <v>2724</v>
      </c>
      <c r="E1317">
        <f t="shared" si="43"/>
        <v>4000001314</v>
      </c>
      <c r="F1317">
        <v>4</v>
      </c>
      <c r="J1317">
        <f t="shared" si="44"/>
        <v>20000001313</v>
      </c>
      <c r="K1317">
        <v>1314</v>
      </c>
    </row>
    <row r="1318" spans="1:11" x14ac:dyDescent="0.25">
      <c r="A1318" s="8" t="s">
        <v>1030</v>
      </c>
      <c r="B1318" s="8" t="s">
        <v>857</v>
      </c>
      <c r="C1318" s="8" t="s">
        <v>1030</v>
      </c>
      <c r="D1318" s="8" t="s">
        <v>2725</v>
      </c>
      <c r="E1318">
        <f t="shared" si="43"/>
        <v>4000001315</v>
      </c>
      <c r="F1318">
        <v>4</v>
      </c>
      <c r="J1318">
        <f t="shared" si="44"/>
        <v>20000001314</v>
      </c>
      <c r="K1318">
        <v>1315</v>
      </c>
    </row>
    <row r="1319" spans="1:11" x14ac:dyDescent="0.25">
      <c r="A1319" s="8" t="s">
        <v>551</v>
      </c>
      <c r="B1319" s="8">
        <v>54710</v>
      </c>
      <c r="C1319" s="8" t="s">
        <v>551</v>
      </c>
      <c r="D1319" s="8" t="s">
        <v>2726</v>
      </c>
      <c r="E1319">
        <f t="shared" si="43"/>
        <v>6000001316</v>
      </c>
      <c r="F1319">
        <v>6</v>
      </c>
      <c r="J1319">
        <f t="shared" si="44"/>
        <v>20000001315</v>
      </c>
      <c r="K1319">
        <v>1316</v>
      </c>
    </row>
    <row r="1320" spans="1:11" x14ac:dyDescent="0.25">
      <c r="A1320" s="8" t="s">
        <v>551</v>
      </c>
      <c r="B1320" s="8">
        <v>54715</v>
      </c>
      <c r="C1320" s="8" t="s">
        <v>551</v>
      </c>
      <c r="D1320" s="8" t="s">
        <v>2727</v>
      </c>
      <c r="E1320">
        <f t="shared" si="43"/>
        <v>6000001317</v>
      </c>
      <c r="F1320">
        <v>6</v>
      </c>
      <c r="J1320">
        <f t="shared" si="44"/>
        <v>20000001316</v>
      </c>
      <c r="K1320">
        <v>1317</v>
      </c>
    </row>
    <row r="1321" spans="1:11" x14ac:dyDescent="0.25">
      <c r="A1321" s="8" t="s">
        <v>554</v>
      </c>
      <c r="B1321" s="8" t="s">
        <v>1002</v>
      </c>
      <c r="C1321" s="8" t="s">
        <v>554</v>
      </c>
      <c r="D1321" s="8" t="s">
        <v>2728</v>
      </c>
      <c r="E1321">
        <f t="shared" si="43"/>
        <v>3000001318</v>
      </c>
      <c r="F1321">
        <v>3</v>
      </c>
      <c r="J1321">
        <f t="shared" si="44"/>
        <v>20000001317</v>
      </c>
      <c r="K1321">
        <v>1318</v>
      </c>
    </row>
    <row r="1322" spans="1:11" x14ac:dyDescent="0.25">
      <c r="A1322" s="8" t="s">
        <v>554</v>
      </c>
      <c r="B1322" s="8" t="s">
        <v>1003</v>
      </c>
      <c r="C1322" s="8" t="s">
        <v>554</v>
      </c>
      <c r="D1322" s="8" t="s">
        <v>2729</v>
      </c>
      <c r="E1322">
        <f t="shared" si="43"/>
        <v>3000001319</v>
      </c>
      <c r="F1322">
        <v>3</v>
      </c>
      <c r="J1322">
        <f t="shared" si="44"/>
        <v>20000001318</v>
      </c>
      <c r="K1322">
        <v>1319</v>
      </c>
    </row>
    <row r="1323" spans="1:11" x14ac:dyDescent="0.25">
      <c r="A1323" s="8" t="s">
        <v>554</v>
      </c>
      <c r="B1323" s="8" t="s">
        <v>555</v>
      </c>
      <c r="C1323" s="8" t="s">
        <v>554</v>
      </c>
      <c r="D1323" s="8" t="s">
        <v>2730</v>
      </c>
      <c r="E1323">
        <f t="shared" si="43"/>
        <v>3000001320</v>
      </c>
      <c r="F1323">
        <v>3</v>
      </c>
      <c r="J1323">
        <f t="shared" si="44"/>
        <v>20000001319</v>
      </c>
      <c r="K1323">
        <v>1320</v>
      </c>
    </row>
    <row r="1324" spans="1:11" x14ac:dyDescent="0.25">
      <c r="A1324" s="8" t="s">
        <v>554</v>
      </c>
      <c r="B1324" s="8" t="s">
        <v>1345</v>
      </c>
      <c r="C1324" s="8" t="s">
        <v>554</v>
      </c>
      <c r="D1324" s="8" t="s">
        <v>2731</v>
      </c>
      <c r="E1324">
        <f t="shared" si="43"/>
        <v>3000001321</v>
      </c>
      <c r="F1324">
        <v>3</v>
      </c>
      <c r="J1324">
        <f t="shared" si="44"/>
        <v>20000001320</v>
      </c>
      <c r="K1324">
        <v>1321</v>
      </c>
    </row>
    <row r="1325" spans="1:11" x14ac:dyDescent="0.25">
      <c r="A1325" s="8" t="s">
        <v>554</v>
      </c>
      <c r="B1325" s="8" t="s">
        <v>1346</v>
      </c>
      <c r="C1325" s="8" t="s">
        <v>554</v>
      </c>
      <c r="D1325" s="8" t="s">
        <v>2732</v>
      </c>
      <c r="E1325">
        <f t="shared" si="43"/>
        <v>3000001322</v>
      </c>
      <c r="F1325">
        <v>3</v>
      </c>
      <c r="J1325">
        <f t="shared" si="44"/>
        <v>20000001321</v>
      </c>
      <c r="K1325">
        <v>1322</v>
      </c>
    </row>
    <row r="1326" spans="1:11" x14ac:dyDescent="0.25">
      <c r="A1326" s="8" t="s">
        <v>554</v>
      </c>
      <c r="B1326" s="8" t="s">
        <v>1347</v>
      </c>
      <c r="C1326" s="8" t="s">
        <v>554</v>
      </c>
      <c r="D1326" s="8" t="s">
        <v>2733</v>
      </c>
      <c r="E1326">
        <f t="shared" si="43"/>
        <v>3000001323</v>
      </c>
      <c r="F1326">
        <v>3</v>
      </c>
      <c r="J1326">
        <f t="shared" si="44"/>
        <v>20000001322</v>
      </c>
      <c r="K1326">
        <v>1323</v>
      </c>
    </row>
    <row r="1327" spans="1:11" x14ac:dyDescent="0.25">
      <c r="A1327" s="8" t="s">
        <v>859</v>
      </c>
      <c r="B1327" s="8" t="s">
        <v>1348</v>
      </c>
      <c r="C1327" s="8" t="s">
        <v>859</v>
      </c>
      <c r="D1327" s="8" t="s">
        <v>2734</v>
      </c>
      <c r="E1327">
        <f t="shared" si="43"/>
        <v>2000001324</v>
      </c>
      <c r="F1327">
        <v>2</v>
      </c>
      <c r="J1327">
        <f t="shared" si="44"/>
        <v>20000001323</v>
      </c>
      <c r="K1327">
        <v>1324</v>
      </c>
    </row>
    <row r="1328" spans="1:11" x14ac:dyDescent="0.25">
      <c r="A1328" s="8" t="s">
        <v>859</v>
      </c>
      <c r="B1328" s="8" t="s">
        <v>1349</v>
      </c>
      <c r="C1328" s="8" t="s">
        <v>859</v>
      </c>
      <c r="D1328" s="8" t="s">
        <v>2735</v>
      </c>
      <c r="E1328">
        <f t="shared" si="43"/>
        <v>2000001325</v>
      </c>
      <c r="F1328">
        <v>2</v>
      </c>
      <c r="J1328">
        <f t="shared" si="44"/>
        <v>20000001324</v>
      </c>
      <c r="K1328">
        <v>1325</v>
      </c>
    </row>
    <row r="1329" spans="1:11" x14ac:dyDescent="0.25">
      <c r="A1329" s="8" t="s">
        <v>859</v>
      </c>
      <c r="B1329" s="8" t="s">
        <v>1350</v>
      </c>
      <c r="C1329" s="8" t="s">
        <v>859</v>
      </c>
      <c r="D1329" s="8" t="s">
        <v>2736</v>
      </c>
      <c r="E1329">
        <f t="shared" si="43"/>
        <v>2000001326</v>
      </c>
      <c r="F1329">
        <v>2</v>
      </c>
      <c r="J1329">
        <f t="shared" si="44"/>
        <v>20000001325</v>
      </c>
      <c r="K1329">
        <v>1326</v>
      </c>
    </row>
    <row r="1330" spans="1:11" x14ac:dyDescent="0.25">
      <c r="A1330" s="8" t="s">
        <v>859</v>
      </c>
      <c r="B1330" s="8" t="s">
        <v>1351</v>
      </c>
      <c r="C1330" s="8" t="s">
        <v>859</v>
      </c>
      <c r="D1330" s="8" t="s">
        <v>2737</v>
      </c>
      <c r="E1330">
        <f t="shared" si="43"/>
        <v>2000001327</v>
      </c>
      <c r="F1330">
        <v>2</v>
      </c>
      <c r="J1330">
        <f t="shared" si="44"/>
        <v>20000001326</v>
      </c>
      <c r="K1330">
        <v>1327</v>
      </c>
    </row>
    <row r="1331" spans="1:11" x14ac:dyDescent="0.25">
      <c r="A1331" s="8" t="s">
        <v>859</v>
      </c>
      <c r="B1331" s="8" t="s">
        <v>1352</v>
      </c>
      <c r="C1331" s="8" t="s">
        <v>859</v>
      </c>
      <c r="D1331" s="8" t="s">
        <v>2738</v>
      </c>
      <c r="E1331">
        <f t="shared" si="43"/>
        <v>2000001328</v>
      </c>
      <c r="F1331">
        <v>2</v>
      </c>
      <c r="J1331">
        <f t="shared" si="44"/>
        <v>20000001327</v>
      </c>
      <c r="K1331">
        <v>1328</v>
      </c>
    </row>
    <row r="1332" spans="1:11" x14ac:dyDescent="0.25">
      <c r="A1332" s="8" t="s">
        <v>37</v>
      </c>
      <c r="B1332" s="8" t="s">
        <v>38</v>
      </c>
      <c r="C1332" s="8" t="s">
        <v>37</v>
      </c>
      <c r="D1332" s="8" t="s">
        <v>2739</v>
      </c>
      <c r="E1332">
        <f t="shared" si="43"/>
        <v>6000001329</v>
      </c>
      <c r="F1332">
        <v>6</v>
      </c>
      <c r="J1332">
        <f t="shared" si="44"/>
        <v>20000001328</v>
      </c>
      <c r="K1332">
        <v>1329</v>
      </c>
    </row>
    <row r="1333" spans="1:11" x14ac:dyDescent="0.25">
      <c r="A1333" s="8" t="s">
        <v>37</v>
      </c>
      <c r="B1333" s="8" t="s">
        <v>565</v>
      </c>
      <c r="C1333" s="8" t="s">
        <v>37</v>
      </c>
      <c r="D1333" s="8" t="s">
        <v>2740</v>
      </c>
      <c r="E1333">
        <f t="shared" si="43"/>
        <v>6000001330</v>
      </c>
      <c r="F1333">
        <v>6</v>
      </c>
      <c r="J1333">
        <f t="shared" si="44"/>
        <v>20000001329</v>
      </c>
      <c r="K1333">
        <v>1330</v>
      </c>
    </row>
    <row r="1334" spans="1:11" x14ac:dyDescent="0.25">
      <c r="A1334" s="8" t="s">
        <v>566</v>
      </c>
      <c r="B1334" s="8" t="s">
        <v>567</v>
      </c>
      <c r="C1334" s="8" t="s">
        <v>566</v>
      </c>
      <c r="D1334" s="8" t="s">
        <v>2741</v>
      </c>
      <c r="E1334">
        <f t="shared" si="43"/>
        <v>6000001331</v>
      </c>
      <c r="F1334">
        <v>6</v>
      </c>
      <c r="J1334">
        <f t="shared" si="44"/>
        <v>20000001330</v>
      </c>
      <c r="K1334">
        <v>1331</v>
      </c>
    </row>
    <row r="1335" spans="1:11" x14ac:dyDescent="0.25">
      <c r="A1335" s="8" t="s">
        <v>566</v>
      </c>
      <c r="B1335" s="8" t="s">
        <v>1004</v>
      </c>
      <c r="C1335" s="8" t="s">
        <v>566</v>
      </c>
      <c r="D1335" s="8" t="s">
        <v>2742</v>
      </c>
      <c r="E1335">
        <f t="shared" si="43"/>
        <v>6000001332</v>
      </c>
      <c r="F1335">
        <v>6</v>
      </c>
      <c r="J1335">
        <f t="shared" si="44"/>
        <v>20000001331</v>
      </c>
      <c r="K1335">
        <v>1332</v>
      </c>
    </row>
    <row r="1336" spans="1:11" x14ac:dyDescent="0.25">
      <c r="A1336" s="8" t="s">
        <v>566</v>
      </c>
      <c r="B1336" s="8" t="s">
        <v>568</v>
      </c>
      <c r="C1336" s="8" t="s">
        <v>566</v>
      </c>
      <c r="D1336" s="8" t="s">
        <v>2743</v>
      </c>
      <c r="E1336">
        <f t="shared" si="43"/>
        <v>6000001333</v>
      </c>
      <c r="F1336">
        <v>6</v>
      </c>
      <c r="J1336">
        <f t="shared" si="44"/>
        <v>20000001332</v>
      </c>
      <c r="K1336">
        <v>1333</v>
      </c>
    </row>
    <row r="1337" spans="1:11" x14ac:dyDescent="0.25">
      <c r="A1337" s="8" t="s">
        <v>566</v>
      </c>
      <c r="B1337" s="8" t="s">
        <v>569</v>
      </c>
      <c r="C1337" s="8" t="s">
        <v>566</v>
      </c>
      <c r="D1337" s="8" t="s">
        <v>2744</v>
      </c>
      <c r="E1337">
        <f t="shared" si="43"/>
        <v>6000001334</v>
      </c>
      <c r="F1337">
        <v>6</v>
      </c>
      <c r="J1337">
        <f t="shared" si="44"/>
        <v>20000001333</v>
      </c>
      <c r="K1337">
        <v>1334</v>
      </c>
    </row>
    <row r="1338" spans="1:11" x14ac:dyDescent="0.25">
      <c r="A1338" s="8" t="s">
        <v>566</v>
      </c>
      <c r="B1338" s="8" t="s">
        <v>570</v>
      </c>
      <c r="C1338" s="8" t="s">
        <v>566</v>
      </c>
      <c r="D1338" s="8" t="s">
        <v>2745</v>
      </c>
      <c r="E1338">
        <f t="shared" si="43"/>
        <v>6000001335</v>
      </c>
      <c r="F1338">
        <v>6</v>
      </c>
      <c r="J1338">
        <f t="shared" si="44"/>
        <v>20000001334</v>
      </c>
      <c r="K1338">
        <v>1335</v>
      </c>
    </row>
    <row r="1339" spans="1:11" x14ac:dyDescent="0.25">
      <c r="A1339" s="8" t="s">
        <v>571</v>
      </c>
      <c r="B1339" s="8" t="s">
        <v>1353</v>
      </c>
      <c r="C1339" s="8" t="s">
        <v>571</v>
      </c>
      <c r="D1339" s="8" t="s">
        <v>2746</v>
      </c>
      <c r="E1339">
        <f t="shared" si="43"/>
        <v>4000001336</v>
      </c>
      <c r="F1339">
        <v>4</v>
      </c>
      <c r="J1339">
        <f t="shared" si="44"/>
        <v>20000001335</v>
      </c>
      <c r="K1339">
        <v>1336</v>
      </c>
    </row>
    <row r="1340" spans="1:11" x14ac:dyDescent="0.25">
      <c r="A1340" s="8" t="s">
        <v>571</v>
      </c>
      <c r="B1340" s="8" t="s">
        <v>572</v>
      </c>
      <c r="C1340" s="8" t="s">
        <v>571</v>
      </c>
      <c r="D1340" s="8" t="s">
        <v>2747</v>
      </c>
      <c r="E1340">
        <f t="shared" si="43"/>
        <v>4000001337</v>
      </c>
      <c r="F1340">
        <v>4</v>
      </c>
      <c r="J1340">
        <f t="shared" si="44"/>
        <v>20000001336</v>
      </c>
      <c r="K1340">
        <v>1337</v>
      </c>
    </row>
    <row r="1341" spans="1:11" x14ac:dyDescent="0.25">
      <c r="A1341" s="8" t="s">
        <v>571</v>
      </c>
      <c r="B1341" s="8" t="s">
        <v>573</v>
      </c>
      <c r="C1341" s="8" t="s">
        <v>571</v>
      </c>
      <c r="D1341" s="8" t="s">
        <v>2748</v>
      </c>
      <c r="E1341">
        <f t="shared" si="43"/>
        <v>4000001338</v>
      </c>
      <c r="F1341">
        <v>4</v>
      </c>
      <c r="J1341">
        <f t="shared" si="44"/>
        <v>20000001337</v>
      </c>
      <c r="K1341">
        <v>1338</v>
      </c>
    </row>
    <row r="1342" spans="1:11" x14ac:dyDescent="0.25">
      <c r="A1342" s="8" t="s">
        <v>571</v>
      </c>
      <c r="B1342" s="8" t="s">
        <v>574</v>
      </c>
      <c r="C1342" s="8" t="s">
        <v>571</v>
      </c>
      <c r="D1342" s="8" t="s">
        <v>2749</v>
      </c>
      <c r="E1342">
        <f t="shared" si="43"/>
        <v>4000001339</v>
      </c>
      <c r="F1342">
        <v>4</v>
      </c>
      <c r="J1342">
        <f t="shared" si="44"/>
        <v>20000001338</v>
      </c>
      <c r="K1342">
        <v>1339</v>
      </c>
    </row>
    <row r="1343" spans="1:11" x14ac:dyDescent="0.25">
      <c r="A1343" s="8" t="s">
        <v>571</v>
      </c>
      <c r="B1343" s="8" t="s">
        <v>17</v>
      </c>
      <c r="C1343" s="8" t="s">
        <v>571</v>
      </c>
      <c r="D1343" s="8" t="s">
        <v>2750</v>
      </c>
      <c r="E1343">
        <f t="shared" si="43"/>
        <v>4000001340</v>
      </c>
      <c r="F1343">
        <v>4</v>
      </c>
      <c r="J1343">
        <f t="shared" si="44"/>
        <v>20000001339</v>
      </c>
      <c r="K1343">
        <v>1340</v>
      </c>
    </row>
    <row r="1344" spans="1:11" x14ac:dyDescent="0.25">
      <c r="A1344" s="8" t="s">
        <v>571</v>
      </c>
      <c r="B1344" s="8" t="s">
        <v>575</v>
      </c>
      <c r="C1344" s="8" t="s">
        <v>571</v>
      </c>
      <c r="D1344" s="8" t="s">
        <v>2751</v>
      </c>
      <c r="E1344">
        <f t="shared" si="43"/>
        <v>4000001341</v>
      </c>
      <c r="F1344">
        <v>4</v>
      </c>
      <c r="J1344">
        <f t="shared" si="44"/>
        <v>20000001340</v>
      </c>
      <c r="K1344">
        <v>1341</v>
      </c>
    </row>
    <row r="1345" spans="1:11" x14ac:dyDescent="0.25">
      <c r="A1345" s="8" t="s">
        <v>571</v>
      </c>
      <c r="B1345" s="8" t="s">
        <v>576</v>
      </c>
      <c r="C1345" s="8" t="s">
        <v>571</v>
      </c>
      <c r="D1345" s="8" t="s">
        <v>2752</v>
      </c>
      <c r="E1345">
        <f t="shared" si="43"/>
        <v>4000001342</v>
      </c>
      <c r="F1345">
        <v>4</v>
      </c>
      <c r="J1345">
        <f t="shared" si="44"/>
        <v>20000001341</v>
      </c>
      <c r="K1345">
        <v>1342</v>
      </c>
    </row>
    <row r="1346" spans="1:11" x14ac:dyDescent="0.25">
      <c r="A1346" s="8" t="s">
        <v>571</v>
      </c>
      <c r="B1346" s="8" t="s">
        <v>577</v>
      </c>
      <c r="C1346" s="8" t="s">
        <v>571</v>
      </c>
      <c r="D1346" s="8" t="s">
        <v>2753</v>
      </c>
      <c r="E1346">
        <f t="shared" si="43"/>
        <v>4000001343</v>
      </c>
      <c r="F1346">
        <v>4</v>
      </c>
      <c r="J1346">
        <f t="shared" si="44"/>
        <v>20000001342</v>
      </c>
      <c r="K1346">
        <v>1343</v>
      </c>
    </row>
    <row r="1347" spans="1:11" x14ac:dyDescent="0.25">
      <c r="A1347" s="8" t="s">
        <v>571</v>
      </c>
      <c r="B1347" s="8" t="s">
        <v>911</v>
      </c>
      <c r="C1347" s="8" t="s">
        <v>571</v>
      </c>
      <c r="D1347" s="8" t="s">
        <v>2754</v>
      </c>
      <c r="E1347">
        <f t="shared" si="43"/>
        <v>4000001344</v>
      </c>
      <c r="F1347">
        <v>4</v>
      </c>
      <c r="J1347">
        <f t="shared" si="44"/>
        <v>20000001343</v>
      </c>
      <c r="K1347">
        <v>1344</v>
      </c>
    </row>
    <row r="1348" spans="1:11" x14ac:dyDescent="0.25">
      <c r="A1348" s="8" t="s">
        <v>571</v>
      </c>
      <c r="B1348" s="8" t="s">
        <v>912</v>
      </c>
      <c r="C1348" s="8" t="s">
        <v>571</v>
      </c>
      <c r="D1348" s="8" t="s">
        <v>2755</v>
      </c>
      <c r="E1348">
        <f t="shared" si="43"/>
        <v>4000001345</v>
      </c>
      <c r="F1348">
        <v>4</v>
      </c>
      <c r="J1348">
        <f t="shared" si="44"/>
        <v>20000001344</v>
      </c>
      <c r="K1348">
        <v>1345</v>
      </c>
    </row>
    <row r="1349" spans="1:11" x14ac:dyDescent="0.25">
      <c r="A1349" s="8" t="s">
        <v>571</v>
      </c>
      <c r="B1349" s="8" t="s">
        <v>578</v>
      </c>
      <c r="C1349" s="8" t="s">
        <v>571</v>
      </c>
      <c r="D1349" s="8" t="s">
        <v>2756</v>
      </c>
      <c r="E1349">
        <f t="shared" ref="E1349:E1412" si="45">IF(F1349="",J1349,IF(G1349="",F1349*$F$2+K1349,IF(H1349="",F1349*$F$2+G1349*$G$2+K1349,IF(I1349="",F1349*$F$2+G1349*$G$2+H1349*$H$2+K1349,F1349*$F$2+G1349*$G$2+H1349*$H$2+I1349*$I$2+K1349))))</f>
        <v>4000001346</v>
      </c>
      <c r="F1349">
        <v>4</v>
      </c>
      <c r="J1349">
        <f t="shared" si="44"/>
        <v>20000001345</v>
      </c>
      <c r="K1349">
        <v>1346</v>
      </c>
    </row>
    <row r="1350" spans="1:11" x14ac:dyDescent="0.25">
      <c r="A1350" s="8" t="s">
        <v>571</v>
      </c>
      <c r="B1350" s="8" t="s">
        <v>579</v>
      </c>
      <c r="C1350" s="8" t="s">
        <v>571</v>
      </c>
      <c r="D1350" s="8" t="s">
        <v>2757</v>
      </c>
      <c r="E1350">
        <f t="shared" si="45"/>
        <v>4000001347</v>
      </c>
      <c r="F1350">
        <v>4</v>
      </c>
      <c r="J1350">
        <f t="shared" si="44"/>
        <v>20000001346</v>
      </c>
      <c r="K1350">
        <v>1347</v>
      </c>
    </row>
    <row r="1351" spans="1:11" x14ac:dyDescent="0.25">
      <c r="A1351" s="8" t="s">
        <v>571</v>
      </c>
      <c r="B1351" s="8" t="s">
        <v>580</v>
      </c>
      <c r="C1351" s="8" t="s">
        <v>571</v>
      </c>
      <c r="D1351" s="8" t="s">
        <v>2758</v>
      </c>
      <c r="E1351">
        <f t="shared" si="45"/>
        <v>4000001348</v>
      </c>
      <c r="F1351">
        <v>4</v>
      </c>
      <c r="J1351">
        <f t="shared" si="44"/>
        <v>20000001347</v>
      </c>
      <c r="K1351">
        <v>1348</v>
      </c>
    </row>
    <row r="1352" spans="1:11" x14ac:dyDescent="0.25">
      <c r="A1352" s="8" t="s">
        <v>571</v>
      </c>
      <c r="B1352" s="8" t="s">
        <v>581</v>
      </c>
      <c r="C1352" s="8" t="s">
        <v>571</v>
      </c>
      <c r="D1352" s="8" t="s">
        <v>2759</v>
      </c>
      <c r="E1352">
        <f t="shared" si="45"/>
        <v>4000001349</v>
      </c>
      <c r="F1352">
        <v>4</v>
      </c>
      <c r="J1352">
        <f t="shared" si="44"/>
        <v>20000001348</v>
      </c>
      <c r="K1352">
        <v>1349</v>
      </c>
    </row>
    <row r="1353" spans="1:11" x14ac:dyDescent="0.25">
      <c r="A1353" s="8" t="s">
        <v>571</v>
      </c>
      <c r="B1353" s="8" t="s">
        <v>582</v>
      </c>
      <c r="C1353" s="8" t="s">
        <v>571</v>
      </c>
      <c r="D1353" s="8" t="s">
        <v>2760</v>
      </c>
      <c r="E1353">
        <f t="shared" si="45"/>
        <v>4000001350</v>
      </c>
      <c r="F1353">
        <v>4</v>
      </c>
      <c r="J1353">
        <f t="shared" ref="J1353:J1416" si="46">J1352+1</f>
        <v>20000001349</v>
      </c>
      <c r="K1353">
        <v>1350</v>
      </c>
    </row>
    <row r="1354" spans="1:11" x14ac:dyDescent="0.25">
      <c r="A1354" s="8" t="s">
        <v>571</v>
      </c>
      <c r="B1354" s="8" t="s">
        <v>583</v>
      </c>
      <c r="C1354" s="8" t="s">
        <v>571</v>
      </c>
      <c r="D1354" s="8" t="s">
        <v>2761</v>
      </c>
      <c r="E1354">
        <f t="shared" si="45"/>
        <v>4000001351</v>
      </c>
      <c r="F1354">
        <v>4</v>
      </c>
      <c r="J1354">
        <f t="shared" si="46"/>
        <v>20000001350</v>
      </c>
      <c r="K1354">
        <v>1351</v>
      </c>
    </row>
    <row r="1355" spans="1:11" x14ac:dyDescent="0.25">
      <c r="A1355" s="8" t="s">
        <v>571</v>
      </c>
      <c r="B1355" s="8" t="s">
        <v>584</v>
      </c>
      <c r="C1355" s="8" t="s">
        <v>571</v>
      </c>
      <c r="D1355" s="8" t="s">
        <v>2762</v>
      </c>
      <c r="E1355">
        <f t="shared" si="45"/>
        <v>4000001352</v>
      </c>
      <c r="F1355">
        <v>4</v>
      </c>
      <c r="J1355">
        <f t="shared" si="46"/>
        <v>20000001351</v>
      </c>
      <c r="K1355">
        <v>1352</v>
      </c>
    </row>
    <row r="1356" spans="1:11" x14ac:dyDescent="0.25">
      <c r="A1356" s="8" t="s">
        <v>571</v>
      </c>
      <c r="B1356" s="8" t="s">
        <v>585</v>
      </c>
      <c r="C1356" s="8" t="s">
        <v>571</v>
      </c>
      <c r="D1356" s="8" t="s">
        <v>2763</v>
      </c>
      <c r="E1356">
        <f t="shared" si="45"/>
        <v>4000001353</v>
      </c>
      <c r="F1356">
        <v>4</v>
      </c>
      <c r="J1356">
        <f t="shared" si="46"/>
        <v>20000001352</v>
      </c>
      <c r="K1356">
        <v>1353</v>
      </c>
    </row>
    <row r="1357" spans="1:11" x14ac:dyDescent="0.25">
      <c r="A1357" s="8" t="s">
        <v>571</v>
      </c>
      <c r="B1357" s="8" t="s">
        <v>586</v>
      </c>
      <c r="C1357" s="8" t="s">
        <v>571</v>
      </c>
      <c r="D1357" s="8" t="s">
        <v>2764</v>
      </c>
      <c r="E1357">
        <f t="shared" si="45"/>
        <v>4000001354</v>
      </c>
      <c r="F1357">
        <v>4</v>
      </c>
      <c r="J1357">
        <f t="shared" si="46"/>
        <v>20000001353</v>
      </c>
      <c r="K1357">
        <v>1354</v>
      </c>
    </row>
    <row r="1358" spans="1:11" x14ac:dyDescent="0.25">
      <c r="A1358" s="8" t="s">
        <v>571</v>
      </c>
      <c r="B1358" s="8" t="s">
        <v>587</v>
      </c>
      <c r="C1358" s="8" t="s">
        <v>571</v>
      </c>
      <c r="D1358" s="8" t="s">
        <v>2765</v>
      </c>
      <c r="E1358">
        <f t="shared" si="45"/>
        <v>4000001355</v>
      </c>
      <c r="F1358">
        <v>4</v>
      </c>
      <c r="J1358">
        <f t="shared" si="46"/>
        <v>20000001354</v>
      </c>
      <c r="K1358">
        <v>1355</v>
      </c>
    </row>
    <row r="1359" spans="1:11" x14ac:dyDescent="0.25">
      <c r="A1359" s="8" t="s">
        <v>571</v>
      </c>
      <c r="B1359" s="8" t="s">
        <v>588</v>
      </c>
      <c r="C1359" s="8" t="s">
        <v>571</v>
      </c>
      <c r="D1359" s="8" t="s">
        <v>2766</v>
      </c>
      <c r="E1359">
        <f t="shared" si="45"/>
        <v>4000001356</v>
      </c>
      <c r="F1359">
        <v>4</v>
      </c>
      <c r="J1359">
        <f t="shared" si="46"/>
        <v>20000001355</v>
      </c>
      <c r="K1359">
        <v>1356</v>
      </c>
    </row>
    <row r="1360" spans="1:11" x14ac:dyDescent="0.25">
      <c r="A1360" s="8" t="s">
        <v>571</v>
      </c>
      <c r="B1360" s="8" t="s">
        <v>589</v>
      </c>
      <c r="C1360" s="8" t="s">
        <v>571</v>
      </c>
      <c r="D1360" s="8" t="s">
        <v>2767</v>
      </c>
      <c r="E1360">
        <f t="shared" si="45"/>
        <v>4000001357</v>
      </c>
      <c r="F1360">
        <v>4</v>
      </c>
      <c r="J1360">
        <f t="shared" si="46"/>
        <v>20000001356</v>
      </c>
      <c r="K1360">
        <v>1357</v>
      </c>
    </row>
    <row r="1361" spans="1:11" x14ac:dyDescent="0.25">
      <c r="A1361" s="8" t="s">
        <v>571</v>
      </c>
      <c r="B1361" s="8" t="s">
        <v>590</v>
      </c>
      <c r="C1361" s="8" t="s">
        <v>571</v>
      </c>
      <c r="D1361" s="8" t="s">
        <v>2768</v>
      </c>
      <c r="E1361">
        <f t="shared" si="45"/>
        <v>4000001358</v>
      </c>
      <c r="F1361">
        <v>4</v>
      </c>
      <c r="J1361">
        <f t="shared" si="46"/>
        <v>20000001357</v>
      </c>
      <c r="K1361">
        <v>1358</v>
      </c>
    </row>
    <row r="1362" spans="1:11" x14ac:dyDescent="0.25">
      <c r="A1362" s="8" t="s">
        <v>571</v>
      </c>
      <c r="B1362" s="8" t="s">
        <v>591</v>
      </c>
      <c r="C1362" s="8" t="s">
        <v>571</v>
      </c>
      <c r="D1362" s="8" t="s">
        <v>2769</v>
      </c>
      <c r="E1362">
        <f t="shared" si="45"/>
        <v>4000001359</v>
      </c>
      <c r="F1362">
        <v>4</v>
      </c>
      <c r="J1362">
        <f t="shared" si="46"/>
        <v>20000001358</v>
      </c>
      <c r="K1362">
        <v>1359</v>
      </c>
    </row>
    <row r="1363" spans="1:11" x14ac:dyDescent="0.25">
      <c r="A1363" s="8" t="s">
        <v>571</v>
      </c>
      <c r="B1363" s="8" t="s">
        <v>592</v>
      </c>
      <c r="C1363" s="8" t="s">
        <v>571</v>
      </c>
      <c r="D1363" s="8" t="s">
        <v>2770</v>
      </c>
      <c r="E1363">
        <f t="shared" si="45"/>
        <v>4000001360</v>
      </c>
      <c r="F1363">
        <v>4</v>
      </c>
      <c r="J1363">
        <f t="shared" si="46"/>
        <v>20000001359</v>
      </c>
      <c r="K1363">
        <v>1360</v>
      </c>
    </row>
    <row r="1364" spans="1:11" x14ac:dyDescent="0.25">
      <c r="A1364" s="8" t="s">
        <v>571</v>
      </c>
      <c r="B1364" s="8" t="s">
        <v>44</v>
      </c>
      <c r="C1364" s="8" t="s">
        <v>571</v>
      </c>
      <c r="D1364" s="8" t="s">
        <v>2771</v>
      </c>
      <c r="E1364">
        <f t="shared" si="45"/>
        <v>4000001361</v>
      </c>
      <c r="F1364">
        <v>4</v>
      </c>
      <c r="J1364">
        <f t="shared" si="46"/>
        <v>20000001360</v>
      </c>
      <c r="K1364">
        <v>1361</v>
      </c>
    </row>
    <row r="1365" spans="1:11" x14ac:dyDescent="0.25">
      <c r="A1365" s="8" t="s">
        <v>571</v>
      </c>
      <c r="B1365" s="8" t="s">
        <v>710</v>
      </c>
      <c r="C1365" s="8" t="s">
        <v>571</v>
      </c>
      <c r="D1365" s="8" t="s">
        <v>2772</v>
      </c>
      <c r="E1365">
        <f t="shared" si="45"/>
        <v>4000001362</v>
      </c>
      <c r="F1365">
        <v>4</v>
      </c>
      <c r="J1365">
        <f t="shared" si="46"/>
        <v>20000001361</v>
      </c>
      <c r="K1365">
        <v>1362</v>
      </c>
    </row>
    <row r="1366" spans="1:11" x14ac:dyDescent="0.25">
      <c r="A1366" s="8" t="s">
        <v>571</v>
      </c>
      <c r="B1366" s="8" t="s">
        <v>1354</v>
      </c>
      <c r="C1366" s="8" t="s">
        <v>571</v>
      </c>
      <c r="D1366" s="8" t="s">
        <v>2773</v>
      </c>
      <c r="E1366">
        <f t="shared" si="45"/>
        <v>4000001363</v>
      </c>
      <c r="F1366">
        <v>4</v>
      </c>
      <c r="J1366">
        <f t="shared" si="46"/>
        <v>20000001362</v>
      </c>
      <c r="K1366">
        <v>1363</v>
      </c>
    </row>
    <row r="1367" spans="1:11" x14ac:dyDescent="0.25">
      <c r="A1367" s="8" t="s">
        <v>571</v>
      </c>
      <c r="B1367" s="8" t="s">
        <v>1355</v>
      </c>
      <c r="C1367" s="8" t="s">
        <v>571</v>
      </c>
      <c r="D1367" s="8" t="s">
        <v>2774</v>
      </c>
      <c r="E1367">
        <f t="shared" si="45"/>
        <v>4000001364</v>
      </c>
      <c r="F1367">
        <v>4</v>
      </c>
      <c r="J1367">
        <f t="shared" si="46"/>
        <v>20000001363</v>
      </c>
      <c r="K1367">
        <v>1364</v>
      </c>
    </row>
    <row r="1368" spans="1:11" x14ac:dyDescent="0.25">
      <c r="A1368" s="8" t="s">
        <v>571</v>
      </c>
      <c r="B1368" s="8" t="s">
        <v>593</v>
      </c>
      <c r="C1368" s="8" t="s">
        <v>571</v>
      </c>
      <c r="D1368" s="8" t="s">
        <v>2775</v>
      </c>
      <c r="E1368">
        <f t="shared" si="45"/>
        <v>4000001365</v>
      </c>
      <c r="F1368">
        <v>4</v>
      </c>
      <c r="J1368">
        <f t="shared" si="46"/>
        <v>20000001364</v>
      </c>
      <c r="K1368">
        <v>1365</v>
      </c>
    </row>
    <row r="1369" spans="1:11" x14ac:dyDescent="0.25">
      <c r="A1369" s="8" t="s">
        <v>571</v>
      </c>
      <c r="B1369" s="8" t="s">
        <v>594</v>
      </c>
      <c r="C1369" s="8" t="s">
        <v>571</v>
      </c>
      <c r="D1369" s="8" t="s">
        <v>2776</v>
      </c>
      <c r="E1369">
        <f t="shared" si="45"/>
        <v>4000001366</v>
      </c>
      <c r="F1369">
        <v>4</v>
      </c>
      <c r="J1369">
        <f t="shared" si="46"/>
        <v>20000001365</v>
      </c>
      <c r="K1369">
        <v>1366</v>
      </c>
    </row>
    <row r="1370" spans="1:11" x14ac:dyDescent="0.25">
      <c r="A1370" s="8" t="s">
        <v>571</v>
      </c>
      <c r="B1370" s="8" t="s">
        <v>595</v>
      </c>
      <c r="C1370" s="8" t="s">
        <v>571</v>
      </c>
      <c r="D1370" s="8" t="s">
        <v>2777</v>
      </c>
      <c r="E1370">
        <f t="shared" si="45"/>
        <v>4000001367</v>
      </c>
      <c r="F1370">
        <v>4</v>
      </c>
      <c r="J1370">
        <f t="shared" si="46"/>
        <v>20000001366</v>
      </c>
      <c r="K1370">
        <v>1367</v>
      </c>
    </row>
    <row r="1371" spans="1:11" x14ac:dyDescent="0.25">
      <c r="A1371" s="8" t="s">
        <v>571</v>
      </c>
      <c r="B1371" s="8" t="s">
        <v>596</v>
      </c>
      <c r="C1371" s="8" t="s">
        <v>571</v>
      </c>
      <c r="D1371" s="8" t="s">
        <v>2778</v>
      </c>
      <c r="E1371">
        <f t="shared" si="45"/>
        <v>4000001368</v>
      </c>
      <c r="F1371">
        <v>4</v>
      </c>
      <c r="J1371">
        <f t="shared" si="46"/>
        <v>20000001367</v>
      </c>
      <c r="K1371">
        <v>1368</v>
      </c>
    </row>
    <row r="1372" spans="1:11" x14ac:dyDescent="0.25">
      <c r="A1372" s="8" t="s">
        <v>571</v>
      </c>
      <c r="B1372" s="8" t="s">
        <v>860</v>
      </c>
      <c r="C1372" s="8" t="s">
        <v>571</v>
      </c>
      <c r="D1372" s="8" t="s">
        <v>2779</v>
      </c>
      <c r="E1372">
        <f t="shared" si="45"/>
        <v>4000001369</v>
      </c>
      <c r="F1372">
        <v>4</v>
      </c>
      <c r="J1372">
        <f t="shared" si="46"/>
        <v>20000001368</v>
      </c>
      <c r="K1372">
        <v>1369</v>
      </c>
    </row>
    <row r="1373" spans="1:11" x14ac:dyDescent="0.25">
      <c r="A1373" s="8" t="s">
        <v>571</v>
      </c>
      <c r="B1373" s="8" t="s">
        <v>597</v>
      </c>
      <c r="C1373" s="8" t="s">
        <v>571</v>
      </c>
      <c r="D1373" s="8" t="s">
        <v>2780</v>
      </c>
      <c r="E1373">
        <f t="shared" si="45"/>
        <v>4000001370</v>
      </c>
      <c r="F1373">
        <v>4</v>
      </c>
      <c r="J1373">
        <f t="shared" si="46"/>
        <v>20000001369</v>
      </c>
      <c r="K1373">
        <v>1370</v>
      </c>
    </row>
    <row r="1374" spans="1:11" x14ac:dyDescent="0.25">
      <c r="A1374" s="8" t="s">
        <v>571</v>
      </c>
      <c r="B1374" s="8" t="s">
        <v>598</v>
      </c>
      <c r="C1374" s="8" t="s">
        <v>571</v>
      </c>
      <c r="D1374" s="8" t="s">
        <v>2781</v>
      </c>
      <c r="E1374">
        <f t="shared" si="45"/>
        <v>4000001371</v>
      </c>
      <c r="F1374">
        <v>4</v>
      </c>
      <c r="J1374">
        <f t="shared" si="46"/>
        <v>20000001370</v>
      </c>
      <c r="K1374">
        <v>1371</v>
      </c>
    </row>
    <row r="1375" spans="1:11" x14ac:dyDescent="0.25">
      <c r="A1375" s="8" t="s">
        <v>571</v>
      </c>
      <c r="B1375" s="8" t="s">
        <v>861</v>
      </c>
      <c r="C1375" s="8" t="s">
        <v>571</v>
      </c>
      <c r="D1375" s="8" t="s">
        <v>2782</v>
      </c>
      <c r="E1375">
        <f t="shared" si="45"/>
        <v>4000001372</v>
      </c>
      <c r="F1375">
        <v>4</v>
      </c>
      <c r="J1375">
        <f t="shared" si="46"/>
        <v>20000001371</v>
      </c>
      <c r="K1375">
        <v>1372</v>
      </c>
    </row>
    <row r="1376" spans="1:11" x14ac:dyDescent="0.25">
      <c r="A1376" s="8" t="s">
        <v>571</v>
      </c>
      <c r="B1376" s="8" t="s">
        <v>862</v>
      </c>
      <c r="C1376" s="8" t="s">
        <v>571</v>
      </c>
      <c r="D1376" s="8" t="s">
        <v>2783</v>
      </c>
      <c r="E1376">
        <f t="shared" si="45"/>
        <v>4000001373</v>
      </c>
      <c r="F1376">
        <v>4</v>
      </c>
      <c r="J1376">
        <f t="shared" si="46"/>
        <v>20000001372</v>
      </c>
      <c r="K1376">
        <v>1373</v>
      </c>
    </row>
    <row r="1377" spans="1:11" x14ac:dyDescent="0.25">
      <c r="A1377" s="8" t="s">
        <v>571</v>
      </c>
      <c r="B1377" s="8" t="s">
        <v>711</v>
      </c>
      <c r="C1377" s="8" t="s">
        <v>571</v>
      </c>
      <c r="D1377" s="8" t="s">
        <v>2784</v>
      </c>
      <c r="E1377">
        <f t="shared" si="45"/>
        <v>1000001374</v>
      </c>
      <c r="F1377">
        <v>1</v>
      </c>
      <c r="J1377">
        <f t="shared" si="46"/>
        <v>20000001373</v>
      </c>
      <c r="K1377">
        <v>1374</v>
      </c>
    </row>
    <row r="1378" spans="1:11" x14ac:dyDescent="0.25">
      <c r="A1378" s="8" t="s">
        <v>571</v>
      </c>
      <c r="B1378" s="8" t="s">
        <v>599</v>
      </c>
      <c r="C1378" s="8" t="s">
        <v>571</v>
      </c>
      <c r="D1378" s="8" t="s">
        <v>2785</v>
      </c>
      <c r="E1378">
        <f t="shared" si="45"/>
        <v>4000001375</v>
      </c>
      <c r="F1378">
        <v>4</v>
      </c>
      <c r="J1378">
        <f t="shared" si="46"/>
        <v>20000001374</v>
      </c>
      <c r="K1378">
        <v>1375</v>
      </c>
    </row>
    <row r="1379" spans="1:11" x14ac:dyDescent="0.25">
      <c r="A1379" s="8" t="s">
        <v>571</v>
      </c>
      <c r="B1379" s="8" t="s">
        <v>600</v>
      </c>
      <c r="C1379" s="8" t="s">
        <v>571</v>
      </c>
      <c r="D1379" s="8" t="s">
        <v>2786</v>
      </c>
      <c r="E1379">
        <f t="shared" si="45"/>
        <v>4000001376</v>
      </c>
      <c r="F1379">
        <v>4</v>
      </c>
      <c r="J1379">
        <f t="shared" si="46"/>
        <v>20000001375</v>
      </c>
      <c r="K1379">
        <v>1376</v>
      </c>
    </row>
    <row r="1380" spans="1:11" x14ac:dyDescent="0.25">
      <c r="A1380" s="8" t="s">
        <v>571</v>
      </c>
      <c r="B1380" s="8" t="s">
        <v>601</v>
      </c>
      <c r="C1380" s="8" t="s">
        <v>571</v>
      </c>
      <c r="D1380" s="8" t="s">
        <v>2787</v>
      </c>
      <c r="E1380">
        <f t="shared" si="45"/>
        <v>4000001377</v>
      </c>
      <c r="F1380">
        <v>4</v>
      </c>
      <c r="J1380">
        <f t="shared" si="46"/>
        <v>20000001376</v>
      </c>
      <c r="K1380">
        <v>1377</v>
      </c>
    </row>
    <row r="1381" spans="1:11" x14ac:dyDescent="0.25">
      <c r="A1381" s="8" t="s">
        <v>571</v>
      </c>
      <c r="B1381" s="8" t="s">
        <v>602</v>
      </c>
      <c r="C1381" s="8" t="s">
        <v>571</v>
      </c>
      <c r="D1381" s="8" t="s">
        <v>2788</v>
      </c>
      <c r="E1381">
        <f t="shared" si="45"/>
        <v>4000001378</v>
      </c>
      <c r="F1381">
        <v>4</v>
      </c>
      <c r="J1381">
        <f t="shared" si="46"/>
        <v>20000001377</v>
      </c>
      <c r="K1381">
        <v>1378</v>
      </c>
    </row>
    <row r="1382" spans="1:11" x14ac:dyDescent="0.25">
      <c r="A1382" s="8" t="s">
        <v>571</v>
      </c>
      <c r="B1382" s="8" t="s">
        <v>603</v>
      </c>
      <c r="C1382" s="8" t="s">
        <v>571</v>
      </c>
      <c r="D1382" s="8" t="s">
        <v>2789</v>
      </c>
      <c r="E1382">
        <f t="shared" si="45"/>
        <v>4000001379</v>
      </c>
      <c r="F1382">
        <v>4</v>
      </c>
      <c r="J1382">
        <f t="shared" si="46"/>
        <v>20000001378</v>
      </c>
      <c r="K1382">
        <v>1379</v>
      </c>
    </row>
    <row r="1383" spans="1:11" x14ac:dyDescent="0.25">
      <c r="A1383" s="8" t="s">
        <v>571</v>
      </c>
      <c r="B1383" s="8" t="s">
        <v>604</v>
      </c>
      <c r="C1383" s="8" t="s">
        <v>571</v>
      </c>
      <c r="D1383" s="8" t="s">
        <v>2790</v>
      </c>
      <c r="E1383">
        <f t="shared" si="45"/>
        <v>4000001380</v>
      </c>
      <c r="F1383">
        <v>4</v>
      </c>
      <c r="J1383">
        <f t="shared" si="46"/>
        <v>20000001379</v>
      </c>
      <c r="K1383">
        <v>1380</v>
      </c>
    </row>
    <row r="1384" spans="1:11" x14ac:dyDescent="0.25">
      <c r="A1384" s="8" t="s">
        <v>571</v>
      </c>
      <c r="B1384" s="8" t="s">
        <v>605</v>
      </c>
      <c r="C1384" s="8" t="s">
        <v>571</v>
      </c>
      <c r="D1384" s="8" t="s">
        <v>2791</v>
      </c>
      <c r="E1384">
        <f t="shared" si="45"/>
        <v>4000001381</v>
      </c>
      <c r="F1384">
        <v>4</v>
      </c>
      <c r="J1384">
        <f t="shared" si="46"/>
        <v>20000001380</v>
      </c>
      <c r="K1384">
        <v>1381</v>
      </c>
    </row>
    <row r="1385" spans="1:11" x14ac:dyDescent="0.25">
      <c r="A1385" s="8" t="s">
        <v>571</v>
      </c>
      <c r="B1385" s="8" t="s">
        <v>606</v>
      </c>
      <c r="C1385" s="8" t="s">
        <v>571</v>
      </c>
      <c r="D1385" s="8" t="s">
        <v>2792</v>
      </c>
      <c r="E1385">
        <f t="shared" si="45"/>
        <v>4000001382</v>
      </c>
      <c r="F1385">
        <v>4</v>
      </c>
      <c r="J1385">
        <f t="shared" si="46"/>
        <v>20000001381</v>
      </c>
      <c r="K1385">
        <v>1382</v>
      </c>
    </row>
    <row r="1386" spans="1:11" x14ac:dyDescent="0.25">
      <c r="A1386" s="8" t="s">
        <v>571</v>
      </c>
      <c r="B1386" s="8" t="s">
        <v>607</v>
      </c>
      <c r="C1386" s="8" t="s">
        <v>571</v>
      </c>
      <c r="D1386" s="8" t="s">
        <v>2793</v>
      </c>
      <c r="E1386">
        <f t="shared" si="45"/>
        <v>4000001383</v>
      </c>
      <c r="F1386">
        <v>4</v>
      </c>
      <c r="J1386">
        <f t="shared" si="46"/>
        <v>20000001382</v>
      </c>
      <c r="K1386">
        <v>1383</v>
      </c>
    </row>
    <row r="1387" spans="1:11" x14ac:dyDescent="0.25">
      <c r="A1387" s="8" t="s">
        <v>571</v>
      </c>
      <c r="B1387" s="8" t="s">
        <v>608</v>
      </c>
      <c r="C1387" s="8" t="s">
        <v>571</v>
      </c>
      <c r="D1387" s="8" t="s">
        <v>2794</v>
      </c>
      <c r="E1387">
        <f t="shared" si="45"/>
        <v>4000001384</v>
      </c>
      <c r="F1387">
        <v>4</v>
      </c>
      <c r="J1387">
        <f t="shared" si="46"/>
        <v>20000001383</v>
      </c>
      <c r="K1387">
        <v>1384</v>
      </c>
    </row>
    <row r="1388" spans="1:11" x14ac:dyDescent="0.25">
      <c r="A1388" s="8" t="s">
        <v>571</v>
      </c>
      <c r="B1388" s="8" t="s">
        <v>609</v>
      </c>
      <c r="C1388" s="8" t="s">
        <v>571</v>
      </c>
      <c r="D1388" s="8" t="s">
        <v>2795</v>
      </c>
      <c r="E1388">
        <f t="shared" si="45"/>
        <v>4000001385</v>
      </c>
      <c r="F1388">
        <v>4</v>
      </c>
      <c r="J1388">
        <f t="shared" si="46"/>
        <v>20000001384</v>
      </c>
      <c r="K1388">
        <v>1385</v>
      </c>
    </row>
    <row r="1389" spans="1:11" x14ac:dyDescent="0.25">
      <c r="A1389" s="8" t="s">
        <v>571</v>
      </c>
      <c r="B1389" s="8" t="s">
        <v>610</v>
      </c>
      <c r="C1389" s="8" t="s">
        <v>571</v>
      </c>
      <c r="D1389" s="8" t="s">
        <v>2796</v>
      </c>
      <c r="E1389">
        <f t="shared" si="45"/>
        <v>4000001386</v>
      </c>
      <c r="F1389">
        <v>4</v>
      </c>
      <c r="J1389">
        <f t="shared" si="46"/>
        <v>20000001385</v>
      </c>
      <c r="K1389">
        <v>1386</v>
      </c>
    </row>
    <row r="1390" spans="1:11" x14ac:dyDescent="0.25">
      <c r="A1390" s="8" t="s">
        <v>571</v>
      </c>
      <c r="B1390" s="8" t="s">
        <v>611</v>
      </c>
      <c r="C1390" s="8" t="s">
        <v>571</v>
      </c>
      <c r="D1390" s="8" t="s">
        <v>2797</v>
      </c>
      <c r="E1390">
        <f t="shared" si="45"/>
        <v>4000001387</v>
      </c>
      <c r="F1390">
        <v>4</v>
      </c>
      <c r="J1390">
        <f t="shared" si="46"/>
        <v>20000001386</v>
      </c>
      <c r="K1390">
        <v>1387</v>
      </c>
    </row>
    <row r="1391" spans="1:11" x14ac:dyDescent="0.25">
      <c r="A1391" s="8" t="s">
        <v>571</v>
      </c>
      <c r="B1391" s="8" t="s">
        <v>612</v>
      </c>
      <c r="C1391" s="8" t="s">
        <v>571</v>
      </c>
      <c r="D1391" s="8" t="s">
        <v>2798</v>
      </c>
      <c r="E1391">
        <f t="shared" si="45"/>
        <v>4000001388</v>
      </c>
      <c r="F1391">
        <v>4</v>
      </c>
      <c r="J1391">
        <f t="shared" si="46"/>
        <v>20000001387</v>
      </c>
      <c r="K1391">
        <v>1388</v>
      </c>
    </row>
    <row r="1392" spans="1:11" x14ac:dyDescent="0.25">
      <c r="A1392" s="8" t="s">
        <v>571</v>
      </c>
      <c r="B1392" s="8" t="s">
        <v>712</v>
      </c>
      <c r="C1392" s="8" t="s">
        <v>571</v>
      </c>
      <c r="D1392" s="8" t="s">
        <v>2799</v>
      </c>
      <c r="E1392">
        <f t="shared" si="45"/>
        <v>4000001389</v>
      </c>
      <c r="F1392">
        <v>4</v>
      </c>
      <c r="J1392">
        <f t="shared" si="46"/>
        <v>20000001388</v>
      </c>
      <c r="K1392">
        <v>1389</v>
      </c>
    </row>
    <row r="1393" spans="1:11" x14ac:dyDescent="0.25">
      <c r="A1393" s="8" t="s">
        <v>571</v>
      </c>
      <c r="B1393" s="8">
        <v>310999</v>
      </c>
      <c r="C1393" s="8" t="s">
        <v>571</v>
      </c>
      <c r="D1393" s="8" t="s">
        <v>2800</v>
      </c>
      <c r="E1393">
        <f t="shared" si="45"/>
        <v>4000001390</v>
      </c>
      <c r="F1393">
        <v>4</v>
      </c>
      <c r="J1393">
        <f t="shared" si="46"/>
        <v>20000001389</v>
      </c>
      <c r="K1393">
        <v>1390</v>
      </c>
    </row>
    <row r="1394" spans="1:11" x14ac:dyDescent="0.25">
      <c r="A1394" s="8" t="s">
        <v>571</v>
      </c>
      <c r="B1394" s="8" t="s">
        <v>613</v>
      </c>
      <c r="C1394" s="8" t="s">
        <v>571</v>
      </c>
      <c r="D1394" s="8" t="s">
        <v>2801</v>
      </c>
      <c r="E1394">
        <f t="shared" si="45"/>
        <v>1000001391</v>
      </c>
      <c r="F1394">
        <v>1</v>
      </c>
      <c r="J1394">
        <f t="shared" si="46"/>
        <v>20000001390</v>
      </c>
      <c r="K1394">
        <v>1391</v>
      </c>
    </row>
    <row r="1395" spans="1:11" x14ac:dyDescent="0.25">
      <c r="A1395" s="8" t="s">
        <v>571</v>
      </c>
      <c r="B1395" s="8" t="s">
        <v>614</v>
      </c>
      <c r="C1395" s="8" t="s">
        <v>571</v>
      </c>
      <c r="D1395" s="8" t="s">
        <v>2802</v>
      </c>
      <c r="E1395">
        <f t="shared" si="45"/>
        <v>1000001392</v>
      </c>
      <c r="F1395">
        <v>1</v>
      </c>
      <c r="J1395">
        <f t="shared" si="46"/>
        <v>20000001391</v>
      </c>
      <c r="K1395">
        <v>1392</v>
      </c>
    </row>
    <row r="1396" spans="1:11" x14ac:dyDescent="0.25">
      <c r="A1396" s="8" t="s">
        <v>571</v>
      </c>
      <c r="B1396" s="8" t="s">
        <v>616</v>
      </c>
      <c r="C1396" s="8" t="s">
        <v>571</v>
      </c>
      <c r="D1396" s="8" t="s">
        <v>2803</v>
      </c>
      <c r="E1396">
        <f t="shared" si="45"/>
        <v>1000001393</v>
      </c>
      <c r="F1396">
        <v>1</v>
      </c>
      <c r="J1396">
        <f t="shared" si="46"/>
        <v>20000001392</v>
      </c>
      <c r="K1396">
        <v>1393</v>
      </c>
    </row>
    <row r="1397" spans="1:11" x14ac:dyDescent="0.25">
      <c r="A1397" s="8" t="s">
        <v>571</v>
      </c>
      <c r="B1397" s="8" t="s">
        <v>1356</v>
      </c>
      <c r="C1397" s="8" t="s">
        <v>571</v>
      </c>
      <c r="D1397" s="8" t="s">
        <v>2804</v>
      </c>
      <c r="E1397">
        <f t="shared" si="45"/>
        <v>4000001394</v>
      </c>
      <c r="F1397">
        <v>4</v>
      </c>
      <c r="J1397">
        <f t="shared" si="46"/>
        <v>20000001393</v>
      </c>
      <c r="K1397">
        <v>1394</v>
      </c>
    </row>
    <row r="1398" spans="1:11" x14ac:dyDescent="0.25">
      <c r="A1398" s="8" t="s">
        <v>571</v>
      </c>
      <c r="B1398" s="8" t="s">
        <v>1357</v>
      </c>
      <c r="C1398" s="8" t="s">
        <v>571</v>
      </c>
      <c r="D1398" s="8" t="s">
        <v>2805</v>
      </c>
      <c r="E1398">
        <f t="shared" si="45"/>
        <v>4000001395</v>
      </c>
      <c r="F1398">
        <v>4</v>
      </c>
      <c r="J1398">
        <f t="shared" si="46"/>
        <v>20000001394</v>
      </c>
      <c r="K1398">
        <v>1395</v>
      </c>
    </row>
    <row r="1399" spans="1:11" x14ac:dyDescent="0.25">
      <c r="A1399" s="8" t="s">
        <v>571</v>
      </c>
      <c r="B1399" s="8" t="s">
        <v>1358</v>
      </c>
      <c r="C1399" s="8" t="s">
        <v>571</v>
      </c>
      <c r="D1399" s="8" t="s">
        <v>2806</v>
      </c>
      <c r="E1399">
        <f t="shared" si="45"/>
        <v>4000001396</v>
      </c>
      <c r="F1399">
        <v>4</v>
      </c>
      <c r="J1399">
        <f t="shared" si="46"/>
        <v>20000001395</v>
      </c>
      <c r="K1399">
        <v>1396</v>
      </c>
    </row>
    <row r="1400" spans="1:11" x14ac:dyDescent="0.25">
      <c r="A1400" s="8" t="s">
        <v>571</v>
      </c>
      <c r="B1400" s="8" t="s">
        <v>1359</v>
      </c>
      <c r="C1400" s="8" t="s">
        <v>571</v>
      </c>
      <c r="D1400" s="8" t="s">
        <v>2807</v>
      </c>
      <c r="E1400">
        <f t="shared" si="45"/>
        <v>4000001397</v>
      </c>
      <c r="F1400">
        <v>4</v>
      </c>
      <c r="J1400">
        <f t="shared" si="46"/>
        <v>20000001396</v>
      </c>
      <c r="K1400">
        <v>1397</v>
      </c>
    </row>
    <row r="1401" spans="1:11" x14ac:dyDescent="0.25">
      <c r="A1401" s="8" t="s">
        <v>571</v>
      </c>
      <c r="B1401" s="8" t="s">
        <v>1474</v>
      </c>
      <c r="C1401" s="8" t="s">
        <v>571</v>
      </c>
      <c r="D1401" s="8" t="s">
        <v>2808</v>
      </c>
      <c r="E1401">
        <f t="shared" si="45"/>
        <v>4000001398</v>
      </c>
      <c r="F1401">
        <v>4</v>
      </c>
      <c r="J1401">
        <f t="shared" si="46"/>
        <v>20000001397</v>
      </c>
      <c r="K1401">
        <v>1398</v>
      </c>
    </row>
    <row r="1402" spans="1:11" x14ac:dyDescent="0.25">
      <c r="A1402" s="8" t="s">
        <v>571</v>
      </c>
      <c r="B1402" s="8" t="s">
        <v>1360</v>
      </c>
      <c r="C1402" s="8" t="s">
        <v>571</v>
      </c>
      <c r="D1402" s="8" t="s">
        <v>2809</v>
      </c>
      <c r="E1402">
        <f t="shared" si="45"/>
        <v>4000001399</v>
      </c>
      <c r="F1402">
        <v>4</v>
      </c>
      <c r="J1402">
        <f t="shared" si="46"/>
        <v>20000001398</v>
      </c>
      <c r="K1402">
        <v>1399</v>
      </c>
    </row>
    <row r="1403" spans="1:11" x14ac:dyDescent="0.25">
      <c r="A1403" s="8" t="s">
        <v>571</v>
      </c>
      <c r="B1403" s="8" t="s">
        <v>1361</v>
      </c>
      <c r="C1403" s="8" t="s">
        <v>571</v>
      </c>
      <c r="D1403" s="8" t="s">
        <v>2810</v>
      </c>
      <c r="E1403">
        <f t="shared" si="45"/>
        <v>4000001400</v>
      </c>
      <c r="F1403">
        <v>4</v>
      </c>
      <c r="J1403">
        <f t="shared" si="46"/>
        <v>20000001399</v>
      </c>
      <c r="K1403">
        <v>1400</v>
      </c>
    </row>
    <row r="1404" spans="1:11" x14ac:dyDescent="0.25">
      <c r="A1404" s="8" t="s">
        <v>571</v>
      </c>
      <c r="B1404" s="8" t="s">
        <v>1362</v>
      </c>
      <c r="C1404" s="8" t="s">
        <v>571</v>
      </c>
      <c r="D1404" s="8" t="s">
        <v>2811</v>
      </c>
      <c r="E1404">
        <f t="shared" si="45"/>
        <v>4000001401</v>
      </c>
      <c r="F1404">
        <v>4</v>
      </c>
      <c r="J1404">
        <f t="shared" si="46"/>
        <v>20000001400</v>
      </c>
      <c r="K1404">
        <v>1401</v>
      </c>
    </row>
    <row r="1405" spans="1:11" x14ac:dyDescent="0.25">
      <c r="A1405" s="8" t="s">
        <v>571</v>
      </c>
      <c r="B1405" s="8" t="s">
        <v>1363</v>
      </c>
      <c r="C1405" s="8" t="s">
        <v>571</v>
      </c>
      <c r="D1405" s="8" t="s">
        <v>2812</v>
      </c>
      <c r="E1405">
        <f t="shared" si="45"/>
        <v>4000001402</v>
      </c>
      <c r="F1405">
        <v>4</v>
      </c>
      <c r="J1405">
        <f t="shared" si="46"/>
        <v>20000001401</v>
      </c>
      <c r="K1405">
        <v>1402</v>
      </c>
    </row>
    <row r="1406" spans="1:11" x14ac:dyDescent="0.25">
      <c r="A1406" s="8" t="s">
        <v>571</v>
      </c>
      <c r="B1406" s="8" t="s">
        <v>617</v>
      </c>
      <c r="C1406" s="8" t="s">
        <v>571</v>
      </c>
      <c r="D1406" s="8" t="s">
        <v>2813</v>
      </c>
      <c r="E1406">
        <f t="shared" si="45"/>
        <v>4000001403</v>
      </c>
      <c r="F1406">
        <v>4</v>
      </c>
      <c r="J1406">
        <f t="shared" si="46"/>
        <v>20000001402</v>
      </c>
      <c r="K1406">
        <v>1403</v>
      </c>
    </row>
    <row r="1407" spans="1:11" x14ac:dyDescent="0.25">
      <c r="A1407" s="8" t="s">
        <v>571</v>
      </c>
      <c r="B1407" s="8" t="s">
        <v>1364</v>
      </c>
      <c r="C1407" s="8" t="s">
        <v>571</v>
      </c>
      <c r="D1407" s="8" t="s">
        <v>2814</v>
      </c>
      <c r="E1407">
        <f t="shared" si="45"/>
        <v>4000001404</v>
      </c>
      <c r="F1407">
        <v>4</v>
      </c>
      <c r="J1407">
        <f t="shared" si="46"/>
        <v>20000001403</v>
      </c>
      <c r="K1407">
        <v>1404</v>
      </c>
    </row>
    <row r="1408" spans="1:11" x14ac:dyDescent="0.25">
      <c r="A1408" s="8" t="s">
        <v>571</v>
      </c>
      <c r="B1408" s="8" t="s">
        <v>1365</v>
      </c>
      <c r="C1408" s="8" t="s">
        <v>571</v>
      </c>
      <c r="D1408" s="8" t="s">
        <v>2815</v>
      </c>
      <c r="E1408">
        <f t="shared" si="45"/>
        <v>4000001405</v>
      </c>
      <c r="F1408">
        <v>4</v>
      </c>
      <c r="J1408">
        <f t="shared" si="46"/>
        <v>20000001404</v>
      </c>
      <c r="K1408">
        <v>1405</v>
      </c>
    </row>
    <row r="1409" spans="1:11" x14ac:dyDescent="0.25">
      <c r="A1409" s="8" t="s">
        <v>571</v>
      </c>
      <c r="B1409" s="8" t="s">
        <v>1475</v>
      </c>
      <c r="C1409" s="8" t="s">
        <v>571</v>
      </c>
      <c r="D1409" s="8" t="s">
        <v>2816</v>
      </c>
      <c r="E1409">
        <f t="shared" si="45"/>
        <v>4000001406</v>
      </c>
      <c r="F1409">
        <v>4</v>
      </c>
      <c r="J1409">
        <f t="shared" si="46"/>
        <v>20000001405</v>
      </c>
      <c r="K1409">
        <v>1406</v>
      </c>
    </row>
    <row r="1410" spans="1:11" x14ac:dyDescent="0.25">
      <c r="A1410" s="8" t="s">
        <v>1005</v>
      </c>
      <c r="B1410" s="8" t="s">
        <v>864</v>
      </c>
      <c r="C1410" s="8" t="s">
        <v>1005</v>
      </c>
      <c r="D1410" s="8" t="s">
        <v>2817</v>
      </c>
      <c r="E1410">
        <f t="shared" si="45"/>
        <v>2000001407</v>
      </c>
      <c r="F1410">
        <v>2</v>
      </c>
      <c r="J1410">
        <f t="shared" si="46"/>
        <v>20000001406</v>
      </c>
      <c r="K1410">
        <v>1407</v>
      </c>
    </row>
    <row r="1411" spans="1:11" x14ac:dyDescent="0.25">
      <c r="A1411" s="8" t="s">
        <v>1005</v>
      </c>
      <c r="B1411" s="8" t="s">
        <v>865</v>
      </c>
      <c r="C1411" s="8" t="s">
        <v>1005</v>
      </c>
      <c r="D1411" s="8" t="s">
        <v>2818</v>
      </c>
      <c r="E1411">
        <f t="shared" si="45"/>
        <v>2000001408</v>
      </c>
      <c r="F1411">
        <v>2</v>
      </c>
      <c r="J1411">
        <f t="shared" si="46"/>
        <v>20000001407</v>
      </c>
      <c r="K1411">
        <v>1408</v>
      </c>
    </row>
    <row r="1412" spans="1:11" x14ac:dyDescent="0.25">
      <c r="A1412" s="8" t="s">
        <v>1005</v>
      </c>
      <c r="B1412" s="8" t="s">
        <v>1006</v>
      </c>
      <c r="C1412" s="8" t="s">
        <v>1005</v>
      </c>
      <c r="D1412" s="8" t="s">
        <v>2819</v>
      </c>
      <c r="E1412">
        <f t="shared" si="45"/>
        <v>2000001409</v>
      </c>
      <c r="F1412">
        <v>2</v>
      </c>
      <c r="J1412">
        <f t="shared" si="46"/>
        <v>20000001408</v>
      </c>
      <c r="K1412">
        <v>1409</v>
      </c>
    </row>
    <row r="1413" spans="1:11" x14ac:dyDescent="0.25">
      <c r="A1413" s="8" t="s">
        <v>1005</v>
      </c>
      <c r="B1413" s="8" t="s">
        <v>1366</v>
      </c>
      <c r="C1413" s="8" t="s">
        <v>1005</v>
      </c>
      <c r="D1413" s="8" t="s">
        <v>2820</v>
      </c>
      <c r="E1413">
        <f t="shared" ref="E1413:E1476" si="47">IF(F1413="",J1413,IF(G1413="",F1413*$F$2+K1413,IF(H1413="",F1413*$F$2+G1413*$G$2+K1413,IF(I1413="",F1413*$F$2+G1413*$G$2+H1413*$H$2+K1413,F1413*$F$2+G1413*$G$2+H1413*$H$2+I1413*$I$2+K1413))))</f>
        <v>2000001410</v>
      </c>
      <c r="F1413">
        <v>2</v>
      </c>
      <c r="J1413">
        <f t="shared" si="46"/>
        <v>20000001409</v>
      </c>
      <c r="K1413">
        <v>1410</v>
      </c>
    </row>
    <row r="1414" spans="1:11" x14ac:dyDescent="0.25">
      <c r="A1414" s="8" t="s">
        <v>1031</v>
      </c>
      <c r="B1414" s="8" t="s">
        <v>1367</v>
      </c>
      <c r="C1414" s="8" t="s">
        <v>1031</v>
      </c>
      <c r="D1414" s="8" t="s">
        <v>2821</v>
      </c>
      <c r="E1414">
        <f t="shared" si="47"/>
        <v>2000001411</v>
      </c>
      <c r="F1414">
        <v>2</v>
      </c>
      <c r="J1414">
        <f t="shared" si="46"/>
        <v>20000001410</v>
      </c>
      <c r="K1414">
        <v>1411</v>
      </c>
    </row>
    <row r="1415" spans="1:11" x14ac:dyDescent="0.25">
      <c r="A1415" s="8" t="s">
        <v>1031</v>
      </c>
      <c r="B1415" s="8" t="s">
        <v>1368</v>
      </c>
      <c r="C1415" s="8" t="s">
        <v>1031</v>
      </c>
      <c r="D1415" s="8" t="s">
        <v>2822</v>
      </c>
      <c r="E1415">
        <f t="shared" si="47"/>
        <v>2000001412</v>
      </c>
      <c r="F1415">
        <v>2</v>
      </c>
      <c r="J1415">
        <f t="shared" si="46"/>
        <v>20000001411</v>
      </c>
      <c r="K1415">
        <v>1412</v>
      </c>
    </row>
    <row r="1416" spans="1:11" x14ac:dyDescent="0.25">
      <c r="A1416" s="8" t="s">
        <v>1031</v>
      </c>
      <c r="B1416" s="8" t="s">
        <v>1369</v>
      </c>
      <c r="C1416" s="8" t="s">
        <v>1031</v>
      </c>
      <c r="D1416" s="8" t="s">
        <v>2823</v>
      </c>
      <c r="E1416">
        <f t="shared" si="47"/>
        <v>2000001413</v>
      </c>
      <c r="F1416">
        <v>2</v>
      </c>
      <c r="J1416">
        <f t="shared" si="46"/>
        <v>20000001412</v>
      </c>
      <c r="K1416">
        <v>1413</v>
      </c>
    </row>
    <row r="1417" spans="1:11" x14ac:dyDescent="0.25">
      <c r="A1417" s="8" t="s">
        <v>622</v>
      </c>
      <c r="B1417" s="8" t="s">
        <v>1370</v>
      </c>
      <c r="C1417" s="8" t="s">
        <v>622</v>
      </c>
      <c r="D1417" s="8" t="s">
        <v>2824</v>
      </c>
      <c r="E1417">
        <f t="shared" si="47"/>
        <v>6000001414</v>
      </c>
      <c r="F1417">
        <v>6</v>
      </c>
      <c r="J1417">
        <f t="shared" ref="J1417:J1480" si="48">J1416+1</f>
        <v>20000001413</v>
      </c>
      <c r="K1417">
        <v>1414</v>
      </c>
    </row>
    <row r="1418" spans="1:11" x14ac:dyDescent="0.25">
      <c r="A1418" s="8" t="s">
        <v>622</v>
      </c>
      <c r="B1418" s="8" t="s">
        <v>1371</v>
      </c>
      <c r="C1418" s="8" t="s">
        <v>622</v>
      </c>
      <c r="D1418" s="8" t="s">
        <v>2825</v>
      </c>
      <c r="E1418">
        <f t="shared" si="47"/>
        <v>6000001415</v>
      </c>
      <c r="F1418">
        <v>6</v>
      </c>
      <c r="J1418">
        <f t="shared" si="48"/>
        <v>20000001414</v>
      </c>
      <c r="K1418">
        <v>1415</v>
      </c>
    </row>
    <row r="1419" spans="1:11" x14ac:dyDescent="0.25">
      <c r="A1419" s="8" t="s">
        <v>622</v>
      </c>
      <c r="B1419" s="8" t="s">
        <v>1372</v>
      </c>
      <c r="C1419" s="8" t="s">
        <v>622</v>
      </c>
      <c r="D1419" s="8" t="s">
        <v>2826</v>
      </c>
      <c r="E1419">
        <f t="shared" si="47"/>
        <v>6000001416</v>
      </c>
      <c r="F1419">
        <v>6</v>
      </c>
      <c r="J1419">
        <f t="shared" si="48"/>
        <v>20000001415</v>
      </c>
      <c r="K1419">
        <v>1416</v>
      </c>
    </row>
    <row r="1420" spans="1:11" x14ac:dyDescent="0.25">
      <c r="A1420" s="8" t="s">
        <v>866</v>
      </c>
      <c r="B1420" s="8" t="s">
        <v>867</v>
      </c>
      <c r="C1420" s="8" t="s">
        <v>866</v>
      </c>
      <c r="D1420" s="8" t="s">
        <v>2827</v>
      </c>
      <c r="E1420">
        <f t="shared" si="47"/>
        <v>3000001417</v>
      </c>
      <c r="F1420">
        <v>3</v>
      </c>
      <c r="J1420">
        <f t="shared" si="48"/>
        <v>20000001416</v>
      </c>
      <c r="K1420">
        <v>1417</v>
      </c>
    </row>
    <row r="1421" spans="1:11" x14ac:dyDescent="0.25">
      <c r="A1421" s="8" t="s">
        <v>866</v>
      </c>
      <c r="B1421" s="8" t="s">
        <v>1373</v>
      </c>
      <c r="C1421" s="8" t="s">
        <v>866</v>
      </c>
      <c r="D1421" s="8" t="s">
        <v>2828</v>
      </c>
      <c r="E1421">
        <f t="shared" si="47"/>
        <v>3000001418</v>
      </c>
      <c r="F1421">
        <v>3</v>
      </c>
      <c r="J1421">
        <f t="shared" si="48"/>
        <v>20000001417</v>
      </c>
      <c r="K1421">
        <v>1418</v>
      </c>
    </row>
    <row r="1422" spans="1:11" x14ac:dyDescent="0.25">
      <c r="A1422" s="8" t="s">
        <v>1425</v>
      </c>
      <c r="B1422" s="8">
        <v>490057</v>
      </c>
      <c r="C1422" s="8" t="s">
        <v>1425</v>
      </c>
      <c r="D1422" s="8" t="s">
        <v>2829</v>
      </c>
      <c r="E1422">
        <f t="shared" si="47"/>
        <v>6000001419</v>
      </c>
      <c r="F1422">
        <v>6</v>
      </c>
      <c r="J1422">
        <f t="shared" si="48"/>
        <v>20000001418</v>
      </c>
      <c r="K1422">
        <v>1419</v>
      </c>
    </row>
    <row r="1423" spans="1:11" x14ac:dyDescent="0.25">
      <c r="A1423" s="8" t="s">
        <v>1033</v>
      </c>
      <c r="B1423" s="8" t="s">
        <v>1374</v>
      </c>
      <c r="C1423" s="8" t="s">
        <v>1033</v>
      </c>
      <c r="D1423" s="8" t="s">
        <v>2830</v>
      </c>
      <c r="E1423">
        <f t="shared" si="47"/>
        <v>5000001420</v>
      </c>
      <c r="F1423">
        <v>5</v>
      </c>
      <c r="J1423">
        <f t="shared" si="48"/>
        <v>20000001419</v>
      </c>
      <c r="K1423">
        <v>1420</v>
      </c>
    </row>
    <row r="1424" spans="1:11" x14ac:dyDescent="0.25">
      <c r="A1424" s="8" t="s">
        <v>52</v>
      </c>
      <c r="B1424" s="8" t="s">
        <v>1375</v>
      </c>
      <c r="C1424" s="8" t="s">
        <v>52</v>
      </c>
      <c r="D1424" s="8" t="s">
        <v>2831</v>
      </c>
      <c r="E1424">
        <f t="shared" si="47"/>
        <v>5000001421</v>
      </c>
      <c r="F1424">
        <v>5</v>
      </c>
      <c r="J1424">
        <f t="shared" si="48"/>
        <v>20000001420</v>
      </c>
      <c r="K1424">
        <v>1421</v>
      </c>
    </row>
    <row r="1425" spans="1:11" x14ac:dyDescent="0.25">
      <c r="A1425" s="8" t="s">
        <v>52</v>
      </c>
      <c r="B1425" s="8" t="s">
        <v>624</v>
      </c>
      <c r="C1425" s="8" t="s">
        <v>52</v>
      </c>
      <c r="D1425" s="8" t="s">
        <v>2832</v>
      </c>
      <c r="E1425">
        <f t="shared" si="47"/>
        <v>5000001422</v>
      </c>
      <c r="F1425">
        <v>5</v>
      </c>
      <c r="J1425">
        <f t="shared" si="48"/>
        <v>20000001421</v>
      </c>
      <c r="K1425">
        <v>1422</v>
      </c>
    </row>
    <row r="1426" spans="1:11" x14ac:dyDescent="0.25">
      <c r="A1426" s="8" t="s">
        <v>52</v>
      </c>
      <c r="B1426" s="8" t="s">
        <v>1376</v>
      </c>
      <c r="C1426" s="8" t="s">
        <v>52</v>
      </c>
      <c r="D1426" s="8" t="s">
        <v>2833</v>
      </c>
      <c r="E1426">
        <f t="shared" si="47"/>
        <v>5000001423</v>
      </c>
      <c r="F1426">
        <v>5</v>
      </c>
      <c r="J1426">
        <f t="shared" si="48"/>
        <v>20000001422</v>
      </c>
      <c r="K1426">
        <v>1423</v>
      </c>
    </row>
    <row r="1427" spans="1:11" x14ac:dyDescent="0.25">
      <c r="A1427" s="8" t="s">
        <v>52</v>
      </c>
      <c r="B1427" s="8" t="s">
        <v>1476</v>
      </c>
      <c r="C1427" s="8" t="s">
        <v>52</v>
      </c>
      <c r="D1427" s="8" t="s">
        <v>2834</v>
      </c>
      <c r="E1427">
        <f t="shared" si="47"/>
        <v>5000001424</v>
      </c>
      <c r="F1427">
        <v>5</v>
      </c>
      <c r="J1427">
        <f t="shared" si="48"/>
        <v>20000001423</v>
      </c>
      <c r="K1427">
        <v>1424</v>
      </c>
    </row>
    <row r="1428" spans="1:11" x14ac:dyDescent="0.25">
      <c r="A1428" s="8" t="s">
        <v>52</v>
      </c>
      <c r="B1428" s="8" t="s">
        <v>1377</v>
      </c>
      <c r="C1428" s="8" t="s">
        <v>52</v>
      </c>
      <c r="D1428" s="8" t="s">
        <v>2835</v>
      </c>
      <c r="E1428">
        <f t="shared" si="47"/>
        <v>5000001425</v>
      </c>
      <c r="F1428">
        <v>5</v>
      </c>
      <c r="J1428">
        <f t="shared" si="48"/>
        <v>20000001424</v>
      </c>
      <c r="K1428">
        <v>1425</v>
      </c>
    </row>
    <row r="1429" spans="1:11" x14ac:dyDescent="0.25">
      <c r="A1429" s="8" t="s">
        <v>52</v>
      </c>
      <c r="B1429" s="8" t="s">
        <v>1378</v>
      </c>
      <c r="C1429" s="8" t="s">
        <v>52</v>
      </c>
      <c r="D1429" s="8" t="s">
        <v>2836</v>
      </c>
      <c r="E1429">
        <f t="shared" si="47"/>
        <v>5000001426</v>
      </c>
      <c r="F1429">
        <v>5</v>
      </c>
      <c r="J1429">
        <f t="shared" si="48"/>
        <v>20000001425</v>
      </c>
      <c r="K1429">
        <v>1426</v>
      </c>
    </row>
    <row r="1430" spans="1:11" x14ac:dyDescent="0.25">
      <c r="A1430" s="8" t="s">
        <v>52</v>
      </c>
      <c r="B1430" s="8" t="s">
        <v>1379</v>
      </c>
      <c r="C1430" s="8" t="s">
        <v>52</v>
      </c>
      <c r="D1430" s="8" t="s">
        <v>2837</v>
      </c>
      <c r="E1430">
        <f t="shared" si="47"/>
        <v>5000001427</v>
      </c>
      <c r="F1430">
        <v>5</v>
      </c>
      <c r="J1430">
        <f t="shared" si="48"/>
        <v>20000001426</v>
      </c>
      <c r="K1430">
        <v>1427</v>
      </c>
    </row>
    <row r="1431" spans="1:11" x14ac:dyDescent="0.25">
      <c r="A1431" s="8" t="s">
        <v>52</v>
      </c>
      <c r="B1431" s="8" t="s">
        <v>1477</v>
      </c>
      <c r="C1431" s="8" t="s">
        <v>52</v>
      </c>
      <c r="D1431" s="8" t="s">
        <v>2838</v>
      </c>
      <c r="E1431">
        <f t="shared" si="47"/>
        <v>5000001428</v>
      </c>
      <c r="F1431">
        <v>5</v>
      </c>
      <c r="J1431">
        <f t="shared" si="48"/>
        <v>20000001427</v>
      </c>
      <c r="K1431">
        <v>1428</v>
      </c>
    </row>
    <row r="1432" spans="1:11" x14ac:dyDescent="0.25">
      <c r="A1432" s="8" t="s">
        <v>52</v>
      </c>
      <c r="B1432" s="8" t="s">
        <v>1380</v>
      </c>
      <c r="C1432" s="8" t="s">
        <v>52</v>
      </c>
      <c r="D1432" s="8" t="s">
        <v>2839</v>
      </c>
      <c r="E1432">
        <f t="shared" si="47"/>
        <v>5000001429</v>
      </c>
      <c r="F1432">
        <v>5</v>
      </c>
      <c r="J1432">
        <f t="shared" si="48"/>
        <v>20000001428</v>
      </c>
      <c r="K1432">
        <v>1429</v>
      </c>
    </row>
    <row r="1433" spans="1:11" x14ac:dyDescent="0.25">
      <c r="A1433" s="8" t="s">
        <v>52</v>
      </c>
      <c r="B1433" s="8" t="s">
        <v>1381</v>
      </c>
      <c r="C1433" s="8" t="s">
        <v>52</v>
      </c>
      <c r="D1433" s="8" t="s">
        <v>2840</v>
      </c>
      <c r="E1433">
        <f t="shared" si="47"/>
        <v>5000001430</v>
      </c>
      <c r="F1433">
        <v>5</v>
      </c>
      <c r="J1433">
        <f t="shared" si="48"/>
        <v>20000001429</v>
      </c>
      <c r="K1433">
        <v>1430</v>
      </c>
    </row>
    <row r="1434" spans="1:11" x14ac:dyDescent="0.25">
      <c r="A1434" s="8" t="s">
        <v>52</v>
      </c>
      <c r="B1434" s="8" t="s">
        <v>1382</v>
      </c>
      <c r="C1434" s="8" t="s">
        <v>52</v>
      </c>
      <c r="D1434" s="8" t="s">
        <v>2841</v>
      </c>
      <c r="E1434">
        <f t="shared" si="47"/>
        <v>5000001431</v>
      </c>
      <c r="F1434">
        <v>5</v>
      </c>
      <c r="J1434">
        <f t="shared" si="48"/>
        <v>20000001430</v>
      </c>
      <c r="K1434">
        <v>1431</v>
      </c>
    </row>
    <row r="1435" spans="1:11" x14ac:dyDescent="0.25">
      <c r="A1435" s="8" t="s">
        <v>52</v>
      </c>
      <c r="B1435" s="8" t="s">
        <v>1383</v>
      </c>
      <c r="C1435" s="8" t="s">
        <v>52</v>
      </c>
      <c r="D1435" s="8" t="s">
        <v>2842</v>
      </c>
      <c r="E1435">
        <f t="shared" si="47"/>
        <v>5000001432</v>
      </c>
      <c r="F1435">
        <v>5</v>
      </c>
      <c r="J1435">
        <f t="shared" si="48"/>
        <v>20000001431</v>
      </c>
      <c r="K1435">
        <v>1432</v>
      </c>
    </row>
    <row r="1436" spans="1:11" x14ac:dyDescent="0.25">
      <c r="A1436" s="8" t="s">
        <v>52</v>
      </c>
      <c r="B1436" s="8" t="s">
        <v>1384</v>
      </c>
      <c r="C1436" s="8" t="s">
        <v>52</v>
      </c>
      <c r="D1436" s="8" t="s">
        <v>2843</v>
      </c>
      <c r="E1436">
        <f t="shared" si="47"/>
        <v>5000001433</v>
      </c>
      <c r="F1436">
        <v>5</v>
      </c>
      <c r="J1436">
        <f t="shared" si="48"/>
        <v>20000001432</v>
      </c>
      <c r="K1436">
        <v>1433</v>
      </c>
    </row>
    <row r="1437" spans="1:11" x14ac:dyDescent="0.25">
      <c r="A1437" s="8" t="s">
        <v>52</v>
      </c>
      <c r="B1437" s="8" t="s">
        <v>1385</v>
      </c>
      <c r="C1437" s="8" t="s">
        <v>52</v>
      </c>
      <c r="D1437" s="8" t="s">
        <v>2844</v>
      </c>
      <c r="E1437">
        <f t="shared" si="47"/>
        <v>5000001434</v>
      </c>
      <c r="F1437">
        <v>5</v>
      </c>
      <c r="J1437">
        <f t="shared" si="48"/>
        <v>20000001433</v>
      </c>
      <c r="K1437">
        <v>1434</v>
      </c>
    </row>
    <row r="1438" spans="1:11" x14ac:dyDescent="0.25">
      <c r="A1438" s="8" t="s">
        <v>52</v>
      </c>
      <c r="B1438" s="8" t="s">
        <v>1386</v>
      </c>
      <c r="C1438" s="8" t="s">
        <v>52</v>
      </c>
      <c r="D1438" s="8" t="s">
        <v>2845</v>
      </c>
      <c r="E1438">
        <f t="shared" si="47"/>
        <v>5000001435</v>
      </c>
      <c r="F1438">
        <v>5</v>
      </c>
      <c r="J1438">
        <f t="shared" si="48"/>
        <v>20000001434</v>
      </c>
      <c r="K1438">
        <v>1435</v>
      </c>
    </row>
    <row r="1439" spans="1:11" x14ac:dyDescent="0.25">
      <c r="A1439" s="8" t="s">
        <v>52</v>
      </c>
      <c r="B1439" s="8" t="s">
        <v>1387</v>
      </c>
      <c r="C1439" s="8" t="s">
        <v>52</v>
      </c>
      <c r="D1439" s="8" t="s">
        <v>2846</v>
      </c>
      <c r="E1439">
        <f t="shared" si="47"/>
        <v>5000001436</v>
      </c>
      <c r="F1439">
        <v>5</v>
      </c>
      <c r="J1439">
        <f t="shared" si="48"/>
        <v>20000001435</v>
      </c>
      <c r="K1439">
        <v>1436</v>
      </c>
    </row>
    <row r="1440" spans="1:11" x14ac:dyDescent="0.25">
      <c r="A1440" s="8" t="s">
        <v>52</v>
      </c>
      <c r="B1440" s="8" t="s">
        <v>1388</v>
      </c>
      <c r="C1440" s="8" t="s">
        <v>52</v>
      </c>
      <c r="D1440" s="8" t="s">
        <v>2847</v>
      </c>
      <c r="E1440">
        <f t="shared" si="47"/>
        <v>5000001437</v>
      </c>
      <c r="F1440">
        <v>5</v>
      </c>
      <c r="J1440">
        <f t="shared" si="48"/>
        <v>20000001436</v>
      </c>
      <c r="K1440">
        <v>1437</v>
      </c>
    </row>
    <row r="1441" spans="1:11" x14ac:dyDescent="0.25">
      <c r="A1441" s="8" t="s">
        <v>52</v>
      </c>
      <c r="B1441" s="8" t="s">
        <v>1389</v>
      </c>
      <c r="C1441" s="8" t="s">
        <v>52</v>
      </c>
      <c r="D1441" s="8" t="s">
        <v>2848</v>
      </c>
      <c r="E1441">
        <f t="shared" si="47"/>
        <v>5000001438</v>
      </c>
      <c r="F1441">
        <v>5</v>
      </c>
      <c r="J1441">
        <f t="shared" si="48"/>
        <v>20000001437</v>
      </c>
      <c r="K1441">
        <v>1438</v>
      </c>
    </row>
    <row r="1442" spans="1:11" x14ac:dyDescent="0.25">
      <c r="A1442" s="8" t="s">
        <v>52</v>
      </c>
      <c r="B1442" s="8" t="s">
        <v>1390</v>
      </c>
      <c r="C1442" s="8" t="s">
        <v>52</v>
      </c>
      <c r="D1442" s="8" t="s">
        <v>2849</v>
      </c>
      <c r="E1442">
        <f t="shared" si="47"/>
        <v>5000001439</v>
      </c>
      <c r="F1442">
        <v>5</v>
      </c>
      <c r="J1442">
        <f t="shared" si="48"/>
        <v>20000001438</v>
      </c>
      <c r="K1442">
        <v>1439</v>
      </c>
    </row>
    <row r="1443" spans="1:11" x14ac:dyDescent="0.25">
      <c r="A1443" s="8" t="s">
        <v>52</v>
      </c>
      <c r="B1443" s="8" t="s">
        <v>1391</v>
      </c>
      <c r="C1443" s="8" t="s">
        <v>52</v>
      </c>
      <c r="D1443" s="8" t="s">
        <v>2850</v>
      </c>
      <c r="E1443">
        <f t="shared" si="47"/>
        <v>5000001440</v>
      </c>
      <c r="F1443">
        <v>5</v>
      </c>
      <c r="J1443">
        <f t="shared" si="48"/>
        <v>20000001439</v>
      </c>
      <c r="K1443">
        <v>1440</v>
      </c>
    </row>
    <row r="1444" spans="1:11" x14ac:dyDescent="0.25">
      <c r="A1444" s="8" t="s">
        <v>52</v>
      </c>
      <c r="B1444" s="8" t="s">
        <v>1392</v>
      </c>
      <c r="C1444" s="8" t="s">
        <v>52</v>
      </c>
      <c r="D1444" s="8" t="s">
        <v>2851</v>
      </c>
      <c r="E1444">
        <f t="shared" si="47"/>
        <v>5000001441</v>
      </c>
      <c r="F1444">
        <v>5</v>
      </c>
      <c r="J1444">
        <f t="shared" si="48"/>
        <v>20000001440</v>
      </c>
      <c r="K1444">
        <v>1441</v>
      </c>
    </row>
    <row r="1445" spans="1:11" x14ac:dyDescent="0.25">
      <c r="A1445" s="8" t="s">
        <v>52</v>
      </c>
      <c r="B1445" s="8" t="s">
        <v>1393</v>
      </c>
      <c r="C1445" s="8" t="s">
        <v>52</v>
      </c>
      <c r="D1445" s="8" t="s">
        <v>2852</v>
      </c>
      <c r="E1445">
        <f t="shared" si="47"/>
        <v>5000001442</v>
      </c>
      <c r="F1445">
        <v>5</v>
      </c>
      <c r="J1445">
        <f t="shared" si="48"/>
        <v>20000001441</v>
      </c>
      <c r="K1445">
        <v>1442</v>
      </c>
    </row>
    <row r="1446" spans="1:11" x14ac:dyDescent="0.25">
      <c r="A1446" s="8" t="s">
        <v>52</v>
      </c>
      <c r="B1446" s="8" t="s">
        <v>1007</v>
      </c>
      <c r="C1446" s="8" t="s">
        <v>52</v>
      </c>
      <c r="D1446" s="8" t="s">
        <v>2853</v>
      </c>
      <c r="E1446">
        <f t="shared" si="47"/>
        <v>5000001443</v>
      </c>
      <c r="F1446">
        <v>5</v>
      </c>
      <c r="J1446">
        <f t="shared" si="48"/>
        <v>20000001442</v>
      </c>
      <c r="K1446">
        <v>1443</v>
      </c>
    </row>
    <row r="1447" spans="1:11" x14ac:dyDescent="0.25">
      <c r="A1447" s="8" t="s">
        <v>52</v>
      </c>
      <c r="B1447" s="8" t="s">
        <v>1394</v>
      </c>
      <c r="C1447" s="8" t="s">
        <v>52</v>
      </c>
      <c r="D1447" s="8" t="s">
        <v>2854</v>
      </c>
      <c r="E1447">
        <f t="shared" si="47"/>
        <v>5000001444</v>
      </c>
      <c r="F1447">
        <v>5</v>
      </c>
      <c r="J1447">
        <f t="shared" si="48"/>
        <v>20000001443</v>
      </c>
      <c r="K1447">
        <v>1444</v>
      </c>
    </row>
    <row r="1448" spans="1:11" x14ac:dyDescent="0.25">
      <c r="A1448" s="8" t="s">
        <v>52</v>
      </c>
      <c r="B1448" s="8" t="s">
        <v>1395</v>
      </c>
      <c r="C1448" s="8" t="s">
        <v>52</v>
      </c>
      <c r="D1448" s="8" t="s">
        <v>2855</v>
      </c>
      <c r="E1448">
        <f t="shared" si="47"/>
        <v>5000001445</v>
      </c>
      <c r="F1448">
        <v>5</v>
      </c>
      <c r="J1448">
        <f t="shared" si="48"/>
        <v>20000001444</v>
      </c>
      <c r="K1448">
        <v>1445</v>
      </c>
    </row>
    <row r="1449" spans="1:11" x14ac:dyDescent="0.25">
      <c r="A1449" s="8" t="s">
        <v>52</v>
      </c>
      <c r="B1449" s="8" t="s">
        <v>1396</v>
      </c>
      <c r="C1449" s="8" t="s">
        <v>52</v>
      </c>
      <c r="D1449" s="8" t="s">
        <v>2856</v>
      </c>
      <c r="E1449">
        <f t="shared" si="47"/>
        <v>5000001446</v>
      </c>
      <c r="F1449">
        <v>5</v>
      </c>
      <c r="J1449">
        <f t="shared" si="48"/>
        <v>20000001445</v>
      </c>
      <c r="K1449">
        <v>1446</v>
      </c>
    </row>
    <row r="1450" spans="1:11" x14ac:dyDescent="0.25">
      <c r="A1450" s="8" t="s">
        <v>52</v>
      </c>
      <c r="B1450" s="8" t="s">
        <v>1397</v>
      </c>
      <c r="C1450" s="8" t="s">
        <v>52</v>
      </c>
      <c r="D1450" s="8" t="s">
        <v>2857</v>
      </c>
      <c r="E1450">
        <f t="shared" si="47"/>
        <v>5000001447</v>
      </c>
      <c r="F1450">
        <v>5</v>
      </c>
      <c r="J1450">
        <f t="shared" si="48"/>
        <v>20000001446</v>
      </c>
      <c r="K1450">
        <v>1447</v>
      </c>
    </row>
    <row r="1451" spans="1:11" x14ac:dyDescent="0.25">
      <c r="A1451" s="8" t="s">
        <v>52</v>
      </c>
      <c r="B1451" s="8" t="s">
        <v>1398</v>
      </c>
      <c r="C1451" s="8" t="s">
        <v>52</v>
      </c>
      <c r="D1451" s="8" t="s">
        <v>2858</v>
      </c>
      <c r="E1451">
        <f t="shared" si="47"/>
        <v>5000001448</v>
      </c>
      <c r="F1451">
        <v>5</v>
      </c>
      <c r="J1451">
        <f t="shared" si="48"/>
        <v>20000001447</v>
      </c>
      <c r="K1451">
        <v>1448</v>
      </c>
    </row>
    <row r="1452" spans="1:11" x14ac:dyDescent="0.25">
      <c r="A1452" s="8" t="s">
        <v>52</v>
      </c>
      <c r="B1452" s="8" t="s">
        <v>1399</v>
      </c>
      <c r="C1452" s="8" t="s">
        <v>52</v>
      </c>
      <c r="D1452" s="8" t="s">
        <v>2859</v>
      </c>
      <c r="E1452">
        <f t="shared" si="47"/>
        <v>5000001449</v>
      </c>
      <c r="F1452">
        <v>5</v>
      </c>
      <c r="J1452">
        <f t="shared" si="48"/>
        <v>20000001448</v>
      </c>
      <c r="K1452">
        <v>1449</v>
      </c>
    </row>
    <row r="1453" spans="1:11" x14ac:dyDescent="0.25">
      <c r="A1453" s="8" t="s">
        <v>52</v>
      </c>
      <c r="B1453" s="8" t="s">
        <v>1400</v>
      </c>
      <c r="C1453" s="8" t="s">
        <v>52</v>
      </c>
      <c r="D1453" s="8" t="s">
        <v>2860</v>
      </c>
      <c r="E1453">
        <f t="shared" si="47"/>
        <v>5000001450</v>
      </c>
      <c r="F1453">
        <v>5</v>
      </c>
      <c r="J1453">
        <f t="shared" si="48"/>
        <v>20000001449</v>
      </c>
      <c r="K1453">
        <v>1450</v>
      </c>
    </row>
    <row r="1454" spans="1:11" x14ac:dyDescent="0.25">
      <c r="A1454" s="8" t="s">
        <v>52</v>
      </c>
      <c r="B1454" s="8" t="s">
        <v>625</v>
      </c>
      <c r="C1454" s="8" t="s">
        <v>52</v>
      </c>
      <c r="D1454" s="8" t="s">
        <v>2861</v>
      </c>
      <c r="E1454">
        <f t="shared" si="47"/>
        <v>5000001451</v>
      </c>
      <c r="F1454">
        <v>5</v>
      </c>
      <c r="J1454">
        <f t="shared" si="48"/>
        <v>20000001450</v>
      </c>
      <c r="K1454">
        <v>1451</v>
      </c>
    </row>
    <row r="1455" spans="1:11" x14ac:dyDescent="0.25">
      <c r="A1455" s="8" t="s">
        <v>52</v>
      </c>
      <c r="B1455" s="8" t="s">
        <v>1401</v>
      </c>
      <c r="C1455" s="8" t="s">
        <v>52</v>
      </c>
      <c r="D1455" s="8" t="s">
        <v>2862</v>
      </c>
      <c r="E1455">
        <f t="shared" si="47"/>
        <v>5000001452</v>
      </c>
      <c r="F1455">
        <v>5</v>
      </c>
      <c r="J1455">
        <f t="shared" si="48"/>
        <v>20000001451</v>
      </c>
      <c r="K1455">
        <v>1452</v>
      </c>
    </row>
    <row r="1456" spans="1:11" x14ac:dyDescent="0.25">
      <c r="A1456" s="8" t="s">
        <v>52</v>
      </c>
      <c r="B1456" s="8" t="s">
        <v>1402</v>
      </c>
      <c r="C1456" s="8" t="s">
        <v>52</v>
      </c>
      <c r="D1456" s="8" t="s">
        <v>2863</v>
      </c>
      <c r="E1456">
        <f t="shared" si="47"/>
        <v>5000001453</v>
      </c>
      <c r="F1456">
        <v>5</v>
      </c>
      <c r="J1456">
        <f t="shared" si="48"/>
        <v>20000001452</v>
      </c>
      <c r="K1456">
        <v>1453</v>
      </c>
    </row>
    <row r="1457" spans="1:11" x14ac:dyDescent="0.25">
      <c r="A1457" s="8" t="s">
        <v>52</v>
      </c>
      <c r="B1457" s="8" t="s">
        <v>1403</v>
      </c>
      <c r="C1457" s="8" t="s">
        <v>52</v>
      </c>
      <c r="D1457" s="8" t="s">
        <v>2864</v>
      </c>
      <c r="E1457">
        <f t="shared" si="47"/>
        <v>5000001454</v>
      </c>
      <c r="F1457">
        <v>5</v>
      </c>
      <c r="J1457">
        <f t="shared" si="48"/>
        <v>20000001453</v>
      </c>
      <c r="K1457">
        <v>1454</v>
      </c>
    </row>
    <row r="1458" spans="1:11" x14ac:dyDescent="0.25">
      <c r="A1458" s="8" t="s">
        <v>52</v>
      </c>
      <c r="B1458" s="8" t="s">
        <v>1404</v>
      </c>
      <c r="C1458" s="8" t="s">
        <v>52</v>
      </c>
      <c r="D1458" s="8" t="s">
        <v>2865</v>
      </c>
      <c r="E1458">
        <f t="shared" si="47"/>
        <v>5000001455</v>
      </c>
      <c r="F1458">
        <v>5</v>
      </c>
      <c r="J1458">
        <f t="shared" si="48"/>
        <v>20000001454</v>
      </c>
      <c r="K1458">
        <v>1455</v>
      </c>
    </row>
    <row r="1459" spans="1:11" x14ac:dyDescent="0.25">
      <c r="A1459" s="8" t="s">
        <v>52</v>
      </c>
      <c r="B1459" s="8" t="s">
        <v>1405</v>
      </c>
      <c r="C1459" s="8" t="s">
        <v>52</v>
      </c>
      <c r="D1459" s="8" t="s">
        <v>2866</v>
      </c>
      <c r="E1459">
        <f t="shared" si="47"/>
        <v>5000001456</v>
      </c>
      <c r="F1459">
        <v>5</v>
      </c>
      <c r="J1459">
        <f t="shared" si="48"/>
        <v>20000001455</v>
      </c>
      <c r="K1459">
        <v>1456</v>
      </c>
    </row>
    <row r="1460" spans="1:11" x14ac:dyDescent="0.25">
      <c r="A1460" s="8" t="s">
        <v>52</v>
      </c>
      <c r="B1460" s="8" t="s">
        <v>1406</v>
      </c>
      <c r="C1460" s="8" t="s">
        <v>52</v>
      </c>
      <c r="D1460" s="8" t="s">
        <v>2867</v>
      </c>
      <c r="E1460">
        <f t="shared" si="47"/>
        <v>5000001457</v>
      </c>
      <c r="F1460">
        <v>5</v>
      </c>
      <c r="J1460">
        <f t="shared" si="48"/>
        <v>20000001456</v>
      </c>
      <c r="K1460">
        <v>1457</v>
      </c>
    </row>
    <row r="1461" spans="1:11" x14ac:dyDescent="0.25">
      <c r="A1461" s="8" t="s">
        <v>52</v>
      </c>
      <c r="B1461" s="8" t="s">
        <v>1407</v>
      </c>
      <c r="C1461" s="8" t="s">
        <v>52</v>
      </c>
      <c r="D1461" s="8" t="s">
        <v>2868</v>
      </c>
      <c r="E1461">
        <f t="shared" si="47"/>
        <v>5000001458</v>
      </c>
      <c r="F1461">
        <v>5</v>
      </c>
      <c r="J1461">
        <f t="shared" si="48"/>
        <v>20000001457</v>
      </c>
      <c r="K1461">
        <v>1458</v>
      </c>
    </row>
    <row r="1462" spans="1:11" x14ac:dyDescent="0.25">
      <c r="A1462" s="8" t="s">
        <v>52</v>
      </c>
      <c r="B1462" s="8" t="s">
        <v>1408</v>
      </c>
      <c r="C1462" s="8" t="s">
        <v>52</v>
      </c>
      <c r="D1462" s="8" t="s">
        <v>2869</v>
      </c>
      <c r="E1462">
        <f t="shared" si="47"/>
        <v>5000001459</v>
      </c>
      <c r="F1462">
        <v>5</v>
      </c>
      <c r="J1462">
        <f t="shared" si="48"/>
        <v>20000001458</v>
      </c>
      <c r="K1462">
        <v>1459</v>
      </c>
    </row>
    <row r="1463" spans="1:11" x14ac:dyDescent="0.25">
      <c r="A1463" s="8" t="s">
        <v>52</v>
      </c>
      <c r="B1463" s="8" t="s">
        <v>1409</v>
      </c>
      <c r="C1463" s="8" t="s">
        <v>52</v>
      </c>
      <c r="D1463" s="8" t="s">
        <v>2870</v>
      </c>
      <c r="E1463">
        <f t="shared" si="47"/>
        <v>5000001460</v>
      </c>
      <c r="F1463">
        <v>5</v>
      </c>
      <c r="J1463">
        <f t="shared" si="48"/>
        <v>20000001459</v>
      </c>
      <c r="K1463">
        <v>1460</v>
      </c>
    </row>
    <row r="1464" spans="1:11" x14ac:dyDescent="0.25">
      <c r="A1464" s="8" t="s">
        <v>52</v>
      </c>
      <c r="B1464" s="8" t="s">
        <v>1410</v>
      </c>
      <c r="C1464" s="8" t="s">
        <v>52</v>
      </c>
      <c r="D1464" s="8" t="s">
        <v>2871</v>
      </c>
      <c r="E1464">
        <f t="shared" si="47"/>
        <v>5000001461</v>
      </c>
      <c r="F1464">
        <v>5</v>
      </c>
      <c r="J1464">
        <f t="shared" si="48"/>
        <v>20000001460</v>
      </c>
      <c r="K1464">
        <v>1461</v>
      </c>
    </row>
    <row r="1465" spans="1:11" x14ac:dyDescent="0.25">
      <c r="A1465" s="8" t="s">
        <v>52</v>
      </c>
      <c r="B1465" s="8" t="s">
        <v>1411</v>
      </c>
      <c r="C1465" s="8" t="s">
        <v>52</v>
      </c>
      <c r="D1465" s="8" t="s">
        <v>2872</v>
      </c>
      <c r="E1465">
        <f t="shared" si="47"/>
        <v>5000001462</v>
      </c>
      <c r="F1465">
        <v>5</v>
      </c>
      <c r="J1465">
        <f t="shared" si="48"/>
        <v>20000001461</v>
      </c>
      <c r="K1465">
        <v>1462</v>
      </c>
    </row>
    <row r="1466" spans="1:11" x14ac:dyDescent="0.25">
      <c r="A1466" s="8" t="s">
        <v>52</v>
      </c>
      <c r="B1466" s="8" t="s">
        <v>1412</v>
      </c>
      <c r="C1466" s="8" t="s">
        <v>52</v>
      </c>
      <c r="D1466" s="8" t="s">
        <v>2873</v>
      </c>
      <c r="E1466">
        <f t="shared" si="47"/>
        <v>5000001463</v>
      </c>
      <c r="F1466">
        <v>5</v>
      </c>
      <c r="J1466">
        <f t="shared" si="48"/>
        <v>20000001462</v>
      </c>
      <c r="K1466">
        <v>1463</v>
      </c>
    </row>
    <row r="1467" spans="1:11" x14ac:dyDescent="0.25">
      <c r="A1467" s="8" t="s">
        <v>52</v>
      </c>
      <c r="B1467" s="8" t="s">
        <v>1413</v>
      </c>
      <c r="C1467" s="8" t="s">
        <v>52</v>
      </c>
      <c r="D1467" s="8" t="s">
        <v>2874</v>
      </c>
      <c r="E1467">
        <f t="shared" si="47"/>
        <v>5000001464</v>
      </c>
      <c r="F1467">
        <v>5</v>
      </c>
      <c r="J1467">
        <f t="shared" si="48"/>
        <v>20000001463</v>
      </c>
      <c r="K1467">
        <v>1464</v>
      </c>
    </row>
    <row r="1468" spans="1:11" x14ac:dyDescent="0.25">
      <c r="A1468" s="8" t="s">
        <v>52</v>
      </c>
      <c r="B1468" s="8" t="s">
        <v>1414</v>
      </c>
      <c r="C1468" s="8" t="s">
        <v>52</v>
      </c>
      <c r="D1468" s="8" t="s">
        <v>2875</v>
      </c>
      <c r="E1468">
        <f t="shared" si="47"/>
        <v>5000001465</v>
      </c>
      <c r="F1468">
        <v>5</v>
      </c>
      <c r="J1468">
        <f t="shared" si="48"/>
        <v>20000001464</v>
      </c>
      <c r="K1468">
        <v>1465</v>
      </c>
    </row>
    <row r="1469" spans="1:11" x14ac:dyDescent="0.25">
      <c r="A1469" s="8" t="s">
        <v>52</v>
      </c>
      <c r="B1469" s="8" t="s">
        <v>1415</v>
      </c>
      <c r="C1469" s="8" t="s">
        <v>52</v>
      </c>
      <c r="D1469" s="8" t="s">
        <v>2876</v>
      </c>
      <c r="E1469">
        <f t="shared" si="47"/>
        <v>5000001466</v>
      </c>
      <c r="F1469">
        <v>5</v>
      </c>
      <c r="J1469">
        <f t="shared" si="48"/>
        <v>20000001465</v>
      </c>
      <c r="K1469">
        <v>1466</v>
      </c>
    </row>
    <row r="1470" spans="1:11" x14ac:dyDescent="0.25">
      <c r="A1470" s="8" t="s">
        <v>52</v>
      </c>
      <c r="B1470" s="8" t="s">
        <v>1416</v>
      </c>
      <c r="C1470" s="8" t="s">
        <v>52</v>
      </c>
      <c r="D1470" s="8" t="s">
        <v>2877</v>
      </c>
      <c r="E1470">
        <f t="shared" si="47"/>
        <v>5000001467</v>
      </c>
      <c r="F1470">
        <v>5</v>
      </c>
      <c r="J1470">
        <f t="shared" si="48"/>
        <v>20000001466</v>
      </c>
      <c r="K1470">
        <v>1467</v>
      </c>
    </row>
    <row r="1471" spans="1:11" x14ac:dyDescent="0.25">
      <c r="A1471" s="8" t="s">
        <v>52</v>
      </c>
      <c r="B1471" s="8" t="s">
        <v>1417</v>
      </c>
      <c r="C1471" s="8" t="s">
        <v>52</v>
      </c>
      <c r="D1471" s="8" t="s">
        <v>2878</v>
      </c>
      <c r="E1471">
        <f t="shared" si="47"/>
        <v>5000001468</v>
      </c>
      <c r="F1471">
        <v>5</v>
      </c>
      <c r="J1471">
        <f t="shared" si="48"/>
        <v>20000001467</v>
      </c>
      <c r="K1471">
        <v>1468</v>
      </c>
    </row>
    <row r="1472" spans="1:11" x14ac:dyDescent="0.25">
      <c r="A1472" s="8" t="s">
        <v>52</v>
      </c>
      <c r="B1472" s="8" t="s">
        <v>1418</v>
      </c>
      <c r="C1472" s="8" t="s">
        <v>52</v>
      </c>
      <c r="D1472" s="8" t="s">
        <v>2879</v>
      </c>
      <c r="E1472">
        <f t="shared" si="47"/>
        <v>5000001469</v>
      </c>
      <c r="F1472">
        <v>5</v>
      </c>
      <c r="J1472">
        <f t="shared" si="48"/>
        <v>20000001468</v>
      </c>
      <c r="K1472">
        <v>1469</v>
      </c>
    </row>
    <row r="1473" spans="1:11" x14ac:dyDescent="0.25">
      <c r="A1473" s="8" t="s">
        <v>52</v>
      </c>
      <c r="B1473" s="8" t="s">
        <v>1419</v>
      </c>
      <c r="C1473" s="8" t="s">
        <v>52</v>
      </c>
      <c r="D1473" s="8" t="s">
        <v>2880</v>
      </c>
      <c r="E1473">
        <f t="shared" si="47"/>
        <v>5000001470</v>
      </c>
      <c r="F1473">
        <v>5</v>
      </c>
      <c r="J1473">
        <f t="shared" si="48"/>
        <v>20000001469</v>
      </c>
      <c r="K1473">
        <v>1470</v>
      </c>
    </row>
    <row r="1474" spans="1:11" x14ac:dyDescent="0.25">
      <c r="A1474" s="8" t="s">
        <v>52</v>
      </c>
      <c r="B1474" s="8" t="s">
        <v>1420</v>
      </c>
      <c r="C1474" s="8" t="s">
        <v>52</v>
      </c>
      <c r="D1474" s="8" t="s">
        <v>2881</v>
      </c>
      <c r="E1474">
        <f t="shared" si="47"/>
        <v>5000001471</v>
      </c>
      <c r="F1474">
        <v>5</v>
      </c>
      <c r="J1474">
        <f t="shared" si="48"/>
        <v>20000001470</v>
      </c>
      <c r="K1474">
        <v>1471</v>
      </c>
    </row>
    <row r="1475" spans="1:11" x14ac:dyDescent="0.25">
      <c r="A1475" s="8" t="s">
        <v>1034</v>
      </c>
      <c r="B1475" s="8" t="s">
        <v>1478</v>
      </c>
      <c r="C1475" s="8" t="s">
        <v>1034</v>
      </c>
      <c r="D1475" s="8" t="s">
        <v>2882</v>
      </c>
      <c r="E1475">
        <f t="shared" si="47"/>
        <v>5000001472</v>
      </c>
      <c r="F1475">
        <v>5</v>
      </c>
      <c r="J1475">
        <f t="shared" si="48"/>
        <v>20000001471</v>
      </c>
      <c r="K1475">
        <v>1472</v>
      </c>
    </row>
    <row r="1476" spans="1:11" x14ac:dyDescent="0.25">
      <c r="A1476" s="8" t="s">
        <v>1034</v>
      </c>
      <c r="B1476" s="8" t="s">
        <v>1421</v>
      </c>
      <c r="C1476" s="8" t="s">
        <v>1034</v>
      </c>
      <c r="D1476" s="8" t="s">
        <v>2883</v>
      </c>
      <c r="E1476">
        <f t="shared" si="47"/>
        <v>5000001473</v>
      </c>
      <c r="F1476">
        <v>5</v>
      </c>
      <c r="J1476">
        <f t="shared" si="48"/>
        <v>20000001472</v>
      </c>
      <c r="K1476">
        <v>1473</v>
      </c>
    </row>
    <row r="1477" spans="1:11" x14ac:dyDescent="0.25">
      <c r="A1477" s="8" t="s">
        <v>1034</v>
      </c>
      <c r="B1477" s="8" t="s">
        <v>1422</v>
      </c>
      <c r="C1477" s="8" t="s">
        <v>1034</v>
      </c>
      <c r="D1477" s="8" t="s">
        <v>2884</v>
      </c>
      <c r="E1477">
        <f t="shared" ref="E1477:E1480" si="49">IF(F1477="",J1477,IF(G1477="",F1477*$F$2+K1477,IF(H1477="",F1477*$F$2+G1477*$G$2+K1477,IF(I1477="",F1477*$F$2+G1477*$G$2+H1477*$H$2+K1477,F1477*$F$2+G1477*$G$2+H1477*$H$2+I1477*$I$2+K1477))))</f>
        <v>5000001474</v>
      </c>
      <c r="F1477">
        <v>5</v>
      </c>
      <c r="J1477">
        <f t="shared" si="48"/>
        <v>20000001473</v>
      </c>
      <c r="K1477">
        <v>1474</v>
      </c>
    </row>
    <row r="1478" spans="1:11" x14ac:dyDescent="0.25">
      <c r="A1478" s="8" t="s">
        <v>1034</v>
      </c>
      <c r="B1478" s="8" t="s">
        <v>1423</v>
      </c>
      <c r="C1478" s="8" t="s">
        <v>1034</v>
      </c>
      <c r="D1478" s="8" t="s">
        <v>2885</v>
      </c>
      <c r="E1478">
        <f t="shared" si="49"/>
        <v>5000001475</v>
      </c>
      <c r="F1478">
        <v>5</v>
      </c>
      <c r="J1478">
        <f t="shared" si="48"/>
        <v>20000001474</v>
      </c>
      <c r="K1478">
        <v>1475</v>
      </c>
    </row>
    <row r="1479" spans="1:11" x14ac:dyDescent="0.25">
      <c r="A1479" s="8" t="s">
        <v>1034</v>
      </c>
      <c r="B1479" s="8" t="s">
        <v>1424</v>
      </c>
      <c r="C1479" s="8" t="s">
        <v>1034</v>
      </c>
      <c r="D1479" s="8" t="s">
        <v>2886</v>
      </c>
      <c r="E1479">
        <f t="shared" si="49"/>
        <v>5000001476</v>
      </c>
      <c r="F1479">
        <v>5</v>
      </c>
      <c r="J1479">
        <f t="shared" si="48"/>
        <v>20000001475</v>
      </c>
      <c r="K1479">
        <v>1476</v>
      </c>
    </row>
    <row r="1480" spans="1:11" x14ac:dyDescent="0.25">
      <c r="A1480" s="8" t="s">
        <v>626</v>
      </c>
      <c r="B1480" s="8" t="s">
        <v>627</v>
      </c>
      <c r="C1480" s="8" t="s">
        <v>626</v>
      </c>
      <c r="D1480" s="8" t="s">
        <v>2887</v>
      </c>
      <c r="E1480">
        <f t="shared" si="49"/>
        <v>6000001477</v>
      </c>
      <c r="F1480">
        <v>6</v>
      </c>
      <c r="J1480">
        <f t="shared" si="48"/>
        <v>20000001476</v>
      </c>
      <c r="K1480">
        <v>1477</v>
      </c>
    </row>
    <row r="1481" spans="1:11" x14ac:dyDescent="0.25">
      <c r="A1481" s="8"/>
      <c r="B1481" s="8"/>
      <c r="C1481" s="8"/>
      <c r="D1481" s="8"/>
    </row>
    <row r="1482" spans="1:11" x14ac:dyDescent="0.25">
      <c r="A1482" s="8"/>
      <c r="B1482" s="8"/>
      <c r="C1482" s="8"/>
      <c r="D1482" s="8"/>
    </row>
    <row r="1483" spans="1:11" x14ac:dyDescent="0.25">
      <c r="A1483" s="8"/>
      <c r="B1483" s="8"/>
      <c r="C1483" s="8"/>
      <c r="D1483" s="8"/>
    </row>
    <row r="1484" spans="1:11" x14ac:dyDescent="0.25">
      <c r="A1484" s="8"/>
      <c r="B1484" s="8"/>
      <c r="C1484" s="8"/>
      <c r="D1484" s="8"/>
    </row>
    <row r="1485" spans="1:11" x14ac:dyDescent="0.25">
      <c r="A1485" s="8"/>
      <c r="B1485" s="8"/>
      <c r="C1485" s="8"/>
      <c r="D1485" s="8"/>
    </row>
    <row r="1486" spans="1:11" x14ac:dyDescent="0.25">
      <c r="A1486" s="8"/>
      <c r="B1486" s="8"/>
      <c r="C1486" s="8"/>
      <c r="D1486" s="8"/>
    </row>
    <row r="1487" spans="1:11" x14ac:dyDescent="0.25">
      <c r="A1487" s="8"/>
      <c r="B1487" s="8"/>
      <c r="C1487" s="8"/>
      <c r="D1487" s="8"/>
    </row>
    <row r="1488" spans="1:11" x14ac:dyDescent="0.25">
      <c r="A1488" s="8"/>
      <c r="B1488" s="8"/>
      <c r="C1488" s="8"/>
      <c r="D1488" s="8"/>
    </row>
    <row r="1489" spans="1:4" x14ac:dyDescent="0.25">
      <c r="A1489" s="8"/>
      <c r="B1489" s="8"/>
      <c r="C1489" s="8"/>
      <c r="D1489" s="8"/>
    </row>
    <row r="1490" spans="1:4" x14ac:dyDescent="0.25">
      <c r="A1490" s="8"/>
      <c r="B1490" s="8"/>
      <c r="C1490" s="8"/>
      <c r="D1490" s="8"/>
    </row>
    <row r="1491" spans="1:4" x14ac:dyDescent="0.25">
      <c r="A1491" s="8"/>
      <c r="B1491" s="8"/>
      <c r="C1491" s="8"/>
      <c r="D1491" s="8"/>
    </row>
    <row r="1492" spans="1:4" x14ac:dyDescent="0.25">
      <c r="A1492" s="8"/>
      <c r="B1492" s="8"/>
      <c r="C1492" s="8"/>
      <c r="D1492" s="8"/>
    </row>
    <row r="1493" spans="1:4" x14ac:dyDescent="0.25">
      <c r="A1493" s="8"/>
      <c r="B1493" s="8"/>
      <c r="C1493" s="8"/>
      <c r="D1493" s="8"/>
    </row>
    <row r="1494" spans="1:4" x14ac:dyDescent="0.25">
      <c r="A1494" s="8"/>
      <c r="B1494" s="8"/>
      <c r="C1494" s="8"/>
      <c r="D1494" s="8"/>
    </row>
    <row r="1495" spans="1:4" x14ac:dyDescent="0.25">
      <c r="A1495" s="8"/>
      <c r="B1495" s="8"/>
      <c r="C1495" s="8"/>
      <c r="D1495" s="8"/>
    </row>
    <row r="1496" spans="1:4" x14ac:dyDescent="0.25">
      <c r="A1496" s="8"/>
      <c r="B1496" s="8"/>
      <c r="C1496" s="8"/>
      <c r="D1496" s="8"/>
    </row>
    <row r="1497" spans="1:4" x14ac:dyDescent="0.25">
      <c r="A1497" s="8"/>
      <c r="B1497" s="8"/>
      <c r="C1497" s="8"/>
      <c r="D1497" s="8"/>
    </row>
    <row r="1498" spans="1:4" x14ac:dyDescent="0.25">
      <c r="A1498" s="8"/>
      <c r="B1498" s="8"/>
      <c r="C1498" s="8"/>
      <c r="D1498" s="8"/>
    </row>
    <row r="1499" spans="1:4" x14ac:dyDescent="0.25">
      <c r="A1499" s="8"/>
      <c r="B1499" s="8"/>
      <c r="C1499" s="8"/>
      <c r="D1499" s="8"/>
    </row>
    <row r="1500" spans="1:4" x14ac:dyDescent="0.25">
      <c r="A1500" s="8"/>
      <c r="B1500" s="8"/>
      <c r="C1500" s="8"/>
      <c r="D1500" s="8"/>
    </row>
    <row r="1501" spans="1:4" x14ac:dyDescent="0.25">
      <c r="A1501" s="8"/>
      <c r="B1501" s="8"/>
      <c r="C1501" s="8"/>
      <c r="D1501" s="8"/>
    </row>
    <row r="1502" spans="1:4" x14ac:dyDescent="0.25">
      <c r="A1502" s="8"/>
      <c r="B1502" s="8"/>
      <c r="C1502" s="8"/>
      <c r="D1502" s="8"/>
    </row>
    <row r="1503" spans="1:4" x14ac:dyDescent="0.25">
      <c r="A1503" s="8"/>
      <c r="B1503" s="8"/>
      <c r="C1503" s="8"/>
      <c r="D1503" s="8"/>
    </row>
    <row r="1504" spans="1:4" x14ac:dyDescent="0.25">
      <c r="A1504" s="8"/>
      <c r="B1504" s="8"/>
      <c r="C1504" s="8"/>
      <c r="D1504" s="8"/>
    </row>
    <row r="1505" spans="1:4" x14ac:dyDescent="0.25">
      <c r="A1505" s="8"/>
      <c r="B1505" s="8"/>
      <c r="C1505" s="8"/>
      <c r="D1505" s="8"/>
    </row>
    <row r="1506" spans="1:4" x14ac:dyDescent="0.25">
      <c r="A1506" s="8"/>
      <c r="B1506" s="8"/>
      <c r="C1506" s="8"/>
      <c r="D1506" s="8"/>
    </row>
    <row r="1507" spans="1:4" x14ac:dyDescent="0.25">
      <c r="A1507" s="8"/>
      <c r="B1507" s="8"/>
      <c r="C1507" s="8"/>
      <c r="D1507" s="8"/>
    </row>
    <row r="1508" spans="1:4" x14ac:dyDescent="0.25">
      <c r="A1508" s="8"/>
      <c r="B1508" s="8"/>
      <c r="C1508" s="8"/>
      <c r="D1508" s="8"/>
    </row>
    <row r="1509" spans="1:4" x14ac:dyDescent="0.25">
      <c r="A1509" s="8"/>
      <c r="B1509" s="8"/>
      <c r="C1509" s="8"/>
      <c r="D1509" s="8"/>
    </row>
    <row r="1510" spans="1:4" x14ac:dyDescent="0.25">
      <c r="A1510" s="8"/>
      <c r="B1510" s="8"/>
      <c r="C1510" s="8"/>
      <c r="D1510" s="8"/>
    </row>
    <row r="1511" spans="1:4" x14ac:dyDescent="0.25">
      <c r="A1511" s="8"/>
      <c r="B1511" s="8"/>
      <c r="C1511" s="8"/>
      <c r="D1511" s="8"/>
    </row>
    <row r="1512" spans="1:4" x14ac:dyDescent="0.25">
      <c r="A1512" s="8"/>
      <c r="B1512" s="8"/>
      <c r="C1512" s="8"/>
      <c r="D1512" s="8"/>
    </row>
    <row r="1513" spans="1:4" x14ac:dyDescent="0.25">
      <c r="A1513" s="8"/>
      <c r="B1513" s="8"/>
      <c r="C1513" s="8"/>
      <c r="D1513" s="8"/>
    </row>
    <row r="1514" spans="1:4" x14ac:dyDescent="0.25">
      <c r="A1514" s="8"/>
      <c r="B1514" s="8"/>
      <c r="C1514" s="8"/>
      <c r="D1514" s="8"/>
    </row>
    <row r="1515" spans="1:4" x14ac:dyDescent="0.25">
      <c r="A1515" s="8"/>
      <c r="B1515" s="8"/>
      <c r="C1515" s="8"/>
      <c r="D1515" s="8"/>
    </row>
    <row r="1516" spans="1:4" x14ac:dyDescent="0.25">
      <c r="A1516" s="8"/>
      <c r="B1516" s="8"/>
      <c r="C1516" s="8"/>
      <c r="D1516" s="8"/>
    </row>
    <row r="1517" spans="1:4" x14ac:dyDescent="0.25">
      <c r="A1517" s="8"/>
      <c r="B1517" s="8"/>
      <c r="C1517" s="8"/>
      <c r="D1517" s="8"/>
    </row>
    <row r="1518" spans="1:4" x14ac:dyDescent="0.25">
      <c r="A1518" s="8"/>
      <c r="B1518" s="8"/>
      <c r="C1518" s="8"/>
      <c r="D1518" s="8"/>
    </row>
    <row r="1519" spans="1:4" x14ac:dyDescent="0.25">
      <c r="A1519" s="8"/>
      <c r="B1519" s="8"/>
      <c r="C1519" s="8"/>
      <c r="D1519" s="8"/>
    </row>
    <row r="1520" spans="1:4" x14ac:dyDescent="0.25">
      <c r="A1520" s="8"/>
      <c r="B1520" s="8"/>
      <c r="C1520" s="8"/>
      <c r="D1520" s="8"/>
    </row>
    <row r="1521" spans="1:4" x14ac:dyDescent="0.25">
      <c r="A1521" s="8"/>
      <c r="B1521" s="8"/>
      <c r="C1521" s="8"/>
      <c r="D1521" s="8"/>
    </row>
    <row r="1522" spans="1:4" x14ac:dyDescent="0.25">
      <c r="A1522" s="8"/>
      <c r="B1522" s="8"/>
      <c r="C1522" s="8"/>
      <c r="D1522" s="8"/>
    </row>
    <row r="1523" spans="1:4" x14ac:dyDescent="0.25">
      <c r="A1523" s="8"/>
      <c r="B1523" s="8"/>
      <c r="C1523" s="8"/>
      <c r="D1523" s="8"/>
    </row>
    <row r="1524" spans="1:4" x14ac:dyDescent="0.25">
      <c r="A1524" s="8"/>
      <c r="B1524" s="8"/>
      <c r="C1524" s="8"/>
      <c r="D1524" s="8"/>
    </row>
    <row r="1525" spans="1:4" x14ac:dyDescent="0.25">
      <c r="A1525" s="8"/>
      <c r="B1525" s="8"/>
      <c r="C1525" s="8"/>
      <c r="D1525" s="8"/>
    </row>
    <row r="1526" spans="1:4" x14ac:dyDescent="0.25">
      <c r="A1526" s="8"/>
      <c r="B1526" s="8"/>
      <c r="C1526" s="8"/>
      <c r="D1526" s="8"/>
    </row>
    <row r="1527" spans="1:4" x14ac:dyDescent="0.25">
      <c r="A1527" s="8"/>
      <c r="B1527" s="8"/>
      <c r="C1527" s="8"/>
      <c r="D1527" s="8"/>
    </row>
    <row r="1528" spans="1:4" x14ac:dyDescent="0.25">
      <c r="A1528" s="8"/>
      <c r="B1528" s="8"/>
      <c r="C1528" s="8"/>
      <c r="D1528" s="8"/>
    </row>
    <row r="1529" spans="1:4" x14ac:dyDescent="0.25">
      <c r="A1529" s="8"/>
      <c r="B1529" s="8"/>
      <c r="C1529" s="8"/>
      <c r="D1529" s="8"/>
    </row>
    <row r="1530" spans="1:4" x14ac:dyDescent="0.25">
      <c r="A1530" s="8"/>
      <c r="B1530" s="8"/>
      <c r="C1530" s="8"/>
      <c r="D1530" s="8"/>
    </row>
    <row r="1531" spans="1:4" x14ac:dyDescent="0.25">
      <c r="A1531" s="8"/>
      <c r="B1531" s="8"/>
      <c r="C1531" s="8"/>
      <c r="D1531" s="8"/>
    </row>
    <row r="1532" spans="1:4" x14ac:dyDescent="0.25">
      <c r="A1532" s="8"/>
      <c r="B1532" s="8"/>
      <c r="C1532" s="8"/>
      <c r="D1532" s="8"/>
    </row>
    <row r="1533" spans="1:4" x14ac:dyDescent="0.25">
      <c r="A1533" s="8"/>
      <c r="B1533" s="8"/>
      <c r="C1533" s="8"/>
      <c r="D1533" s="8"/>
    </row>
    <row r="1534" spans="1:4" x14ac:dyDescent="0.25">
      <c r="A1534" s="8"/>
      <c r="B1534" s="8"/>
      <c r="C1534" s="8"/>
      <c r="D1534" s="8"/>
    </row>
    <row r="1535" spans="1:4" x14ac:dyDescent="0.25">
      <c r="A1535" s="8"/>
      <c r="B1535" s="8"/>
      <c r="C1535" s="8"/>
      <c r="D1535" s="8"/>
    </row>
    <row r="1536" spans="1:4" x14ac:dyDescent="0.25">
      <c r="A1536" s="8"/>
      <c r="B1536" s="8"/>
      <c r="C1536" s="8"/>
      <c r="D1536" s="8"/>
    </row>
    <row r="1537" spans="1:4" x14ac:dyDescent="0.25">
      <c r="A1537" s="8"/>
      <c r="B1537" s="8"/>
      <c r="C1537" s="8"/>
      <c r="D1537" s="8"/>
    </row>
    <row r="1538" spans="1:4" x14ac:dyDescent="0.25">
      <c r="A1538" s="8"/>
      <c r="B1538" s="8"/>
      <c r="C1538" s="8"/>
      <c r="D1538" s="8"/>
    </row>
    <row r="1539" spans="1:4" x14ac:dyDescent="0.25">
      <c r="A1539" s="8"/>
      <c r="B1539" s="8"/>
      <c r="C1539" s="8"/>
      <c r="D1539" s="8"/>
    </row>
    <row r="1540" spans="1:4" x14ac:dyDescent="0.25">
      <c r="A1540" s="8"/>
      <c r="B1540" s="8"/>
      <c r="C1540" s="8"/>
      <c r="D1540" s="8"/>
    </row>
    <row r="1541" spans="1:4" x14ac:dyDescent="0.25">
      <c r="A1541" s="8"/>
      <c r="B1541" s="8"/>
      <c r="C1541" s="8"/>
      <c r="D1541" s="8"/>
    </row>
    <row r="1542" spans="1:4" x14ac:dyDescent="0.25">
      <c r="A1542" s="8"/>
      <c r="B1542" s="8"/>
      <c r="C1542" s="8"/>
      <c r="D1542" s="8"/>
    </row>
    <row r="1543" spans="1:4" x14ac:dyDescent="0.25">
      <c r="A1543" s="8"/>
      <c r="B1543" s="8"/>
      <c r="C1543" s="8"/>
      <c r="D1543" s="8"/>
    </row>
    <row r="1544" spans="1:4" x14ac:dyDescent="0.25">
      <c r="A1544" s="8"/>
      <c r="B1544" s="8"/>
      <c r="C1544" s="8"/>
      <c r="D1544" s="8"/>
    </row>
    <row r="1545" spans="1:4" x14ac:dyDescent="0.25">
      <c r="A1545" s="8"/>
      <c r="B1545" s="8"/>
      <c r="C1545" s="8"/>
      <c r="D1545" s="8"/>
    </row>
    <row r="1546" spans="1:4" x14ac:dyDescent="0.25">
      <c r="A1546" s="8"/>
      <c r="B1546" s="8"/>
      <c r="C1546" s="8"/>
      <c r="D1546" s="8"/>
    </row>
    <row r="1547" spans="1:4" x14ac:dyDescent="0.25">
      <c r="A1547" s="8"/>
      <c r="B1547" s="8"/>
      <c r="C1547" s="8"/>
      <c r="D1547" s="8"/>
    </row>
    <row r="1548" spans="1:4" x14ac:dyDescent="0.25">
      <c r="A1548" s="8"/>
      <c r="B1548" s="8"/>
      <c r="C1548" s="8"/>
      <c r="D1548" s="8"/>
    </row>
    <row r="1549" spans="1:4" x14ac:dyDescent="0.25">
      <c r="A1549" s="8"/>
      <c r="B1549" s="8"/>
      <c r="C1549" s="8"/>
      <c r="D1549" s="8"/>
    </row>
    <row r="1550" spans="1:4" x14ac:dyDescent="0.25">
      <c r="A1550" s="8"/>
      <c r="B1550" s="8"/>
      <c r="C1550" s="8"/>
      <c r="D1550" s="8"/>
    </row>
    <row r="1551" spans="1:4" x14ac:dyDescent="0.25">
      <c r="A1551" s="8"/>
      <c r="B1551" s="8"/>
      <c r="C1551" s="8"/>
      <c r="D1551" s="8"/>
    </row>
    <row r="1552" spans="1:4" x14ac:dyDescent="0.25">
      <c r="A1552" s="8"/>
      <c r="B1552" s="8"/>
      <c r="C1552" s="8"/>
      <c r="D1552" s="8"/>
    </row>
    <row r="1553" spans="1:4" x14ac:dyDescent="0.25">
      <c r="A1553" s="8"/>
      <c r="B1553" s="8"/>
      <c r="C1553" s="8"/>
      <c r="D1553" s="8"/>
    </row>
    <row r="1554" spans="1:4" x14ac:dyDescent="0.25">
      <c r="A1554" s="8"/>
      <c r="B1554" s="8"/>
      <c r="C1554" s="8"/>
      <c r="D1554" s="8"/>
    </row>
    <row r="1555" spans="1:4" x14ac:dyDescent="0.25">
      <c r="A1555" s="8"/>
      <c r="B1555" s="8"/>
      <c r="C1555" s="8"/>
      <c r="D1555" s="8"/>
    </row>
    <row r="1556" spans="1:4" x14ac:dyDescent="0.25">
      <c r="A1556" s="8"/>
      <c r="B1556" s="8"/>
      <c r="C1556" s="8"/>
      <c r="D1556" s="8"/>
    </row>
    <row r="1557" spans="1:4" x14ac:dyDescent="0.25">
      <c r="A1557" s="8"/>
      <c r="B1557" s="8"/>
      <c r="C1557" s="8"/>
      <c r="D1557" s="8"/>
    </row>
    <row r="1558" spans="1:4" x14ac:dyDescent="0.25">
      <c r="A1558" s="8"/>
      <c r="B1558" s="8"/>
      <c r="C1558" s="8"/>
      <c r="D1558" s="8"/>
    </row>
    <row r="1559" spans="1:4" x14ac:dyDescent="0.25">
      <c r="A1559" s="8"/>
      <c r="B1559" s="8"/>
      <c r="C1559" s="8"/>
      <c r="D1559" s="8"/>
    </row>
    <row r="1560" spans="1:4" x14ac:dyDescent="0.25">
      <c r="A1560" s="8"/>
      <c r="B1560" s="8"/>
      <c r="C1560" s="8"/>
      <c r="D1560" s="8"/>
    </row>
    <row r="1561" spans="1:4" x14ac:dyDescent="0.25">
      <c r="A1561" s="8"/>
      <c r="B1561" s="8"/>
      <c r="C1561" s="8"/>
      <c r="D1561" s="8"/>
    </row>
    <row r="1562" spans="1:4" x14ac:dyDescent="0.25">
      <c r="A1562" s="8"/>
      <c r="B1562" s="8"/>
      <c r="C1562" s="8"/>
      <c r="D1562" s="8"/>
    </row>
    <row r="1563" spans="1:4" x14ac:dyDescent="0.25">
      <c r="A1563" s="8"/>
      <c r="B1563" s="8"/>
      <c r="C1563" s="8"/>
      <c r="D1563" s="8"/>
    </row>
    <row r="1564" spans="1:4" x14ac:dyDescent="0.25">
      <c r="A1564" s="8"/>
      <c r="B1564" s="8"/>
      <c r="C1564" s="8"/>
      <c r="D1564" s="8"/>
    </row>
    <row r="1565" spans="1:4" x14ac:dyDescent="0.25">
      <c r="A1565" s="8"/>
      <c r="B1565" s="8"/>
      <c r="C1565" s="8"/>
      <c r="D1565" s="8"/>
    </row>
    <row r="1566" spans="1:4" x14ac:dyDescent="0.25">
      <c r="A1566" s="8"/>
      <c r="B1566" s="8"/>
      <c r="C1566" s="8"/>
      <c r="D1566" s="8"/>
    </row>
    <row r="1567" spans="1:4" x14ac:dyDescent="0.25">
      <c r="A1567" s="8"/>
      <c r="B1567" s="8"/>
      <c r="C1567" s="8"/>
      <c r="D1567" s="8"/>
    </row>
    <row r="1568" spans="1:4" x14ac:dyDescent="0.25">
      <c r="A1568" s="8"/>
      <c r="B1568" s="8"/>
      <c r="C1568" s="8"/>
      <c r="D1568" s="8"/>
    </row>
    <row r="1569" spans="1:4" x14ac:dyDescent="0.25">
      <c r="A1569" s="8"/>
      <c r="B1569" s="8"/>
      <c r="C1569" s="8"/>
      <c r="D1569" s="8"/>
    </row>
    <row r="1570" spans="1:4" x14ac:dyDescent="0.25">
      <c r="A1570" s="8"/>
      <c r="B1570" s="8"/>
      <c r="C1570" s="8"/>
      <c r="D1570" s="8"/>
    </row>
    <row r="1571" spans="1:4" x14ac:dyDescent="0.25">
      <c r="A1571" s="8"/>
      <c r="B1571" s="8"/>
      <c r="C1571" s="8"/>
      <c r="D1571" s="8"/>
    </row>
    <row r="1572" spans="1:4" x14ac:dyDescent="0.25">
      <c r="A1572" s="8"/>
      <c r="B1572" s="8"/>
      <c r="C1572" s="8"/>
      <c r="D1572" s="8"/>
    </row>
    <row r="1573" spans="1:4" x14ac:dyDescent="0.25">
      <c r="A1573" s="8"/>
      <c r="B1573" s="8"/>
      <c r="C1573" s="8"/>
      <c r="D1573" s="8"/>
    </row>
    <row r="1574" spans="1:4" x14ac:dyDescent="0.25">
      <c r="A1574" s="8"/>
      <c r="B1574" s="8"/>
      <c r="C1574" s="8"/>
      <c r="D1574" s="8"/>
    </row>
    <row r="1575" spans="1:4" x14ac:dyDescent="0.25">
      <c r="A1575" s="8"/>
      <c r="B1575" s="8"/>
      <c r="C1575" s="8"/>
      <c r="D1575" s="8"/>
    </row>
    <row r="1576" spans="1:4" x14ac:dyDescent="0.25">
      <c r="A1576" s="8"/>
      <c r="B1576" s="8"/>
      <c r="C1576" s="8"/>
      <c r="D1576" s="8"/>
    </row>
    <row r="1577" spans="1:4" x14ac:dyDescent="0.25">
      <c r="A1577" s="8"/>
      <c r="B1577" s="8"/>
      <c r="C1577" s="8"/>
      <c r="D1577" s="8"/>
    </row>
    <row r="1578" spans="1:4" x14ac:dyDescent="0.25">
      <c r="A1578" s="8"/>
      <c r="B1578" s="8"/>
      <c r="C1578" s="8"/>
      <c r="D1578" s="8"/>
    </row>
    <row r="1579" spans="1:4" x14ac:dyDescent="0.25">
      <c r="A1579" s="8"/>
      <c r="B1579" s="8"/>
      <c r="C1579" s="8"/>
      <c r="D1579" s="8"/>
    </row>
    <row r="1580" spans="1:4" x14ac:dyDescent="0.25">
      <c r="A1580" s="8"/>
      <c r="B1580" s="8"/>
      <c r="C1580" s="8"/>
      <c r="D1580" s="8"/>
    </row>
    <row r="1581" spans="1:4" x14ac:dyDescent="0.25">
      <c r="A1581" s="8"/>
      <c r="B1581" s="8"/>
      <c r="C1581" s="8"/>
      <c r="D1581" s="8"/>
    </row>
    <row r="1582" spans="1:4" x14ac:dyDescent="0.25">
      <c r="A1582" s="8"/>
      <c r="B1582" s="8"/>
      <c r="C1582" s="8"/>
      <c r="D1582" s="8"/>
    </row>
    <row r="1583" spans="1:4" x14ac:dyDescent="0.25">
      <c r="A1583" s="8"/>
      <c r="B1583" s="8"/>
      <c r="C1583" s="8"/>
      <c r="D1583" s="8"/>
    </row>
    <row r="1584" spans="1:4" x14ac:dyDescent="0.25">
      <c r="A1584" s="8"/>
      <c r="B1584" s="8"/>
      <c r="C1584" s="8"/>
      <c r="D1584" s="8"/>
    </row>
    <row r="1585" spans="1:4" x14ac:dyDescent="0.25">
      <c r="A1585" s="8"/>
      <c r="B1585" s="8"/>
      <c r="C1585" s="8"/>
      <c r="D1585" s="8"/>
    </row>
    <row r="1586" spans="1:4" x14ac:dyDescent="0.25">
      <c r="A1586" s="8"/>
      <c r="B1586" s="8"/>
      <c r="C1586" s="8"/>
      <c r="D1586" s="8"/>
    </row>
    <row r="1587" spans="1:4" x14ac:dyDescent="0.25">
      <c r="A1587" s="8"/>
      <c r="B1587" s="8"/>
      <c r="C1587" s="8"/>
      <c r="D1587" s="8"/>
    </row>
    <row r="1588" spans="1:4" x14ac:dyDescent="0.25">
      <c r="A1588" s="8"/>
      <c r="B1588" s="8"/>
      <c r="C1588" s="8"/>
      <c r="D1588" s="8"/>
    </row>
    <row r="1589" spans="1:4" x14ac:dyDescent="0.25">
      <c r="A1589" s="8"/>
      <c r="B1589" s="8"/>
      <c r="C1589" s="8"/>
      <c r="D1589" s="8"/>
    </row>
    <row r="1590" spans="1:4" x14ac:dyDescent="0.25">
      <c r="A1590" s="8"/>
      <c r="B1590" s="8"/>
      <c r="C1590" s="8"/>
      <c r="D1590" s="8"/>
    </row>
    <row r="1591" spans="1:4" x14ac:dyDescent="0.25">
      <c r="A1591" s="8"/>
      <c r="B1591" s="8"/>
      <c r="C1591" s="8"/>
      <c r="D1591" s="8"/>
    </row>
    <row r="1592" spans="1:4" x14ac:dyDescent="0.25">
      <c r="A1592" s="8"/>
      <c r="B1592" s="8"/>
      <c r="C1592" s="8"/>
      <c r="D1592" s="8"/>
    </row>
    <row r="1593" spans="1:4" x14ac:dyDescent="0.25">
      <c r="A1593" s="8"/>
      <c r="B1593" s="8"/>
      <c r="C1593" s="8"/>
      <c r="D1593" s="8"/>
    </row>
    <row r="1594" spans="1:4" x14ac:dyDescent="0.25">
      <c r="A1594" s="8"/>
      <c r="B1594" s="8"/>
      <c r="C1594" s="8"/>
      <c r="D1594" s="8"/>
    </row>
    <row r="1595" spans="1:4" x14ac:dyDescent="0.25">
      <c r="A1595" s="8"/>
      <c r="B1595" s="8"/>
      <c r="C1595" s="8"/>
      <c r="D1595" s="8"/>
    </row>
    <row r="1596" spans="1:4" x14ac:dyDescent="0.25">
      <c r="A1596" s="8"/>
      <c r="B1596" s="8"/>
      <c r="C1596" s="8"/>
      <c r="D1596" s="8"/>
    </row>
    <row r="1597" spans="1:4" x14ac:dyDescent="0.25">
      <c r="A1597" s="8"/>
      <c r="B1597" s="8"/>
      <c r="C1597" s="8"/>
      <c r="D1597" s="8"/>
    </row>
    <row r="1598" spans="1:4" x14ac:dyDescent="0.25">
      <c r="A1598" s="8"/>
      <c r="B1598" s="8"/>
      <c r="C1598" s="8"/>
      <c r="D1598" s="8"/>
    </row>
    <row r="1599" spans="1:4" x14ac:dyDescent="0.25">
      <c r="A1599" s="8"/>
      <c r="B1599" s="8"/>
      <c r="C1599" s="8"/>
      <c r="D1599" s="8"/>
    </row>
    <row r="1600" spans="1:4" x14ac:dyDescent="0.25">
      <c r="A1600" s="8"/>
      <c r="B1600" s="8"/>
      <c r="C1600" s="8"/>
      <c r="D1600" s="8"/>
    </row>
    <row r="1601" spans="1:4" x14ac:dyDescent="0.25">
      <c r="A1601" s="8"/>
      <c r="B1601" s="8"/>
      <c r="C1601" s="8"/>
      <c r="D1601" s="8"/>
    </row>
    <row r="1602" spans="1:4" x14ac:dyDescent="0.25">
      <c r="A1602" s="8"/>
      <c r="B1602" s="8"/>
      <c r="C1602" s="8"/>
      <c r="D1602" s="8"/>
    </row>
    <row r="1603" spans="1:4" x14ac:dyDescent="0.25">
      <c r="A1603" s="8"/>
      <c r="B1603" s="8"/>
      <c r="C1603" s="8"/>
      <c r="D1603" s="8"/>
    </row>
    <row r="1604" spans="1:4" x14ac:dyDescent="0.25">
      <c r="A1604" s="8"/>
      <c r="B1604" s="8"/>
      <c r="C1604" s="8"/>
      <c r="D1604" s="8"/>
    </row>
    <row r="1605" spans="1:4" x14ac:dyDescent="0.25">
      <c r="A1605" s="8"/>
      <c r="B1605" s="8"/>
      <c r="C1605" s="8"/>
      <c r="D1605" s="8"/>
    </row>
    <row r="1606" spans="1:4" x14ac:dyDescent="0.25">
      <c r="A1606" s="8"/>
      <c r="B1606" s="8"/>
      <c r="C1606" s="8"/>
      <c r="D1606" s="8"/>
    </row>
    <row r="1607" spans="1:4" x14ac:dyDescent="0.25">
      <c r="A1607" s="8"/>
      <c r="B1607" s="8"/>
      <c r="C1607" s="8"/>
      <c r="D1607" s="8"/>
    </row>
    <row r="1608" spans="1:4" x14ac:dyDescent="0.25">
      <c r="A1608" s="8"/>
      <c r="B1608" s="8"/>
      <c r="C1608" s="8"/>
      <c r="D1608" s="8"/>
    </row>
    <row r="1609" spans="1:4" x14ac:dyDescent="0.25">
      <c r="A1609" s="8"/>
      <c r="B1609" s="8"/>
      <c r="C1609" s="8"/>
      <c r="D1609" s="8"/>
    </row>
    <row r="1610" spans="1:4" x14ac:dyDescent="0.25">
      <c r="A1610" s="8"/>
      <c r="B1610" s="8"/>
      <c r="C1610" s="8"/>
      <c r="D1610" s="8"/>
    </row>
    <row r="1611" spans="1:4" x14ac:dyDescent="0.25">
      <c r="A1611" s="8"/>
      <c r="B1611" s="8"/>
      <c r="C1611" s="8"/>
      <c r="D1611" s="8"/>
    </row>
    <row r="1612" spans="1:4" x14ac:dyDescent="0.25">
      <c r="A1612" s="8"/>
      <c r="B1612" s="8"/>
      <c r="C1612" s="8"/>
      <c r="D1612" s="8"/>
    </row>
    <row r="1613" spans="1:4" x14ac:dyDescent="0.25">
      <c r="A1613" s="8"/>
      <c r="B1613" s="8"/>
      <c r="C1613" s="8"/>
      <c r="D1613" s="8"/>
    </row>
    <row r="1614" spans="1:4" x14ac:dyDescent="0.25">
      <c r="A1614" s="8"/>
      <c r="B1614" s="8"/>
      <c r="C1614" s="8"/>
      <c r="D1614" s="8"/>
    </row>
    <row r="1615" spans="1:4" x14ac:dyDescent="0.25">
      <c r="A1615" s="8"/>
      <c r="B1615" s="8"/>
      <c r="C1615" s="8"/>
      <c r="D1615" s="8"/>
    </row>
    <row r="1616" spans="1:4" x14ac:dyDescent="0.25">
      <c r="A1616" s="8"/>
      <c r="B1616" s="8"/>
      <c r="C1616" s="8"/>
      <c r="D1616" s="8"/>
    </row>
    <row r="1617" spans="1:4" x14ac:dyDescent="0.25">
      <c r="A1617" s="8"/>
      <c r="B1617" s="8"/>
      <c r="C1617" s="8"/>
      <c r="D1617" s="8"/>
    </row>
    <row r="1618" spans="1:4" x14ac:dyDescent="0.25">
      <c r="A1618" s="8"/>
      <c r="B1618" s="8"/>
      <c r="C1618" s="8"/>
      <c r="D1618" s="8"/>
    </row>
    <row r="1619" spans="1:4" x14ac:dyDescent="0.25">
      <c r="A1619" s="8"/>
      <c r="B1619" s="8"/>
      <c r="C1619" s="8"/>
      <c r="D1619" s="8"/>
    </row>
    <row r="1620" spans="1:4" x14ac:dyDescent="0.25">
      <c r="A1620" s="8"/>
      <c r="B1620" s="8"/>
      <c r="C1620" s="8"/>
      <c r="D1620" s="8"/>
    </row>
    <row r="1621" spans="1:4" x14ac:dyDescent="0.25">
      <c r="A1621" s="8"/>
      <c r="B1621" s="8"/>
      <c r="C1621" s="8"/>
      <c r="D1621" s="8"/>
    </row>
    <row r="1622" spans="1:4" x14ac:dyDescent="0.25">
      <c r="A1622" s="8"/>
      <c r="B1622" s="8"/>
      <c r="C1622" s="8"/>
      <c r="D1622" s="8"/>
    </row>
    <row r="1623" spans="1:4" x14ac:dyDescent="0.25">
      <c r="A1623" s="8"/>
      <c r="B1623" s="8"/>
      <c r="C1623" s="8"/>
      <c r="D1623" s="8"/>
    </row>
    <row r="1624" spans="1:4" x14ac:dyDescent="0.25">
      <c r="A1624" s="8"/>
      <c r="B1624" s="8"/>
      <c r="C1624" s="8"/>
      <c r="D1624" s="8"/>
    </row>
    <row r="1625" spans="1:4" x14ac:dyDescent="0.25">
      <c r="A1625" s="8"/>
      <c r="B1625" s="8"/>
      <c r="C1625" s="8"/>
      <c r="D1625" s="8"/>
    </row>
    <row r="1626" spans="1:4" x14ac:dyDescent="0.25">
      <c r="A1626" s="8"/>
      <c r="B1626" s="8"/>
      <c r="C1626" s="8"/>
      <c r="D1626" s="8"/>
    </row>
    <row r="1627" spans="1:4" x14ac:dyDescent="0.25">
      <c r="A1627" s="8"/>
      <c r="B1627" s="8"/>
      <c r="C1627" s="8"/>
      <c r="D1627" s="8"/>
    </row>
    <row r="1628" spans="1:4" x14ac:dyDescent="0.25">
      <c r="A1628" s="8"/>
      <c r="B1628" s="8"/>
      <c r="C1628" s="8"/>
      <c r="D1628" s="8"/>
    </row>
    <row r="1629" spans="1:4" x14ac:dyDescent="0.25">
      <c r="A1629" s="8"/>
      <c r="B1629" s="8"/>
      <c r="C1629" s="8"/>
      <c r="D1629" s="8"/>
    </row>
    <row r="1630" spans="1:4" x14ac:dyDescent="0.25">
      <c r="A1630" s="8"/>
      <c r="B1630" s="8"/>
      <c r="C1630" s="8"/>
      <c r="D1630" s="8"/>
    </row>
    <row r="1631" spans="1:4" x14ac:dyDescent="0.25">
      <c r="A1631" s="8"/>
      <c r="B1631" s="8"/>
      <c r="C1631" s="8"/>
      <c r="D1631" s="8"/>
    </row>
    <row r="1632" spans="1:4" x14ac:dyDescent="0.25">
      <c r="A1632" s="8"/>
      <c r="B1632" s="8"/>
      <c r="C1632" s="8"/>
      <c r="D1632" s="8"/>
    </row>
    <row r="1633" spans="1:4" x14ac:dyDescent="0.25">
      <c r="A1633" s="8"/>
      <c r="B1633" s="8"/>
      <c r="C1633" s="8"/>
      <c r="D1633" s="8"/>
    </row>
    <row r="1634" spans="1:4" x14ac:dyDescent="0.25">
      <c r="A1634" s="8"/>
      <c r="B1634" s="8"/>
      <c r="C1634" s="8"/>
      <c r="D1634" s="8"/>
    </row>
    <row r="1635" spans="1:4" x14ac:dyDescent="0.25">
      <c r="A1635" s="8"/>
      <c r="B1635" s="8"/>
      <c r="C1635" s="8"/>
      <c r="D1635" s="8"/>
    </row>
    <row r="1636" spans="1:4" x14ac:dyDescent="0.25">
      <c r="A1636" s="8"/>
      <c r="B1636" s="8"/>
      <c r="C1636" s="8"/>
      <c r="D1636" s="8"/>
    </row>
    <row r="1637" spans="1:4" x14ac:dyDescent="0.25">
      <c r="A1637" s="8"/>
      <c r="B1637" s="8"/>
      <c r="C1637" s="8"/>
      <c r="D1637" s="8"/>
    </row>
    <row r="1638" spans="1:4" x14ac:dyDescent="0.25">
      <c r="A1638" s="8"/>
      <c r="B1638" s="8"/>
      <c r="C1638" s="8"/>
      <c r="D1638" s="8"/>
    </row>
    <row r="1639" spans="1:4" x14ac:dyDescent="0.25">
      <c r="A1639" s="8"/>
      <c r="B1639" s="8"/>
      <c r="C1639" s="8"/>
      <c r="D1639" s="8"/>
    </row>
    <row r="1640" spans="1:4" x14ac:dyDescent="0.25">
      <c r="A1640" s="8"/>
      <c r="B1640" s="8"/>
      <c r="C1640" s="8"/>
      <c r="D1640" s="8"/>
    </row>
    <row r="1641" spans="1:4" x14ac:dyDescent="0.25">
      <c r="A1641" s="8"/>
      <c r="B1641" s="8"/>
      <c r="C1641" s="8"/>
      <c r="D1641" s="8"/>
    </row>
    <row r="1642" spans="1:4" x14ac:dyDescent="0.25">
      <c r="A1642" s="8"/>
      <c r="B1642" s="8"/>
      <c r="C1642" s="8"/>
      <c r="D1642" s="8"/>
    </row>
    <row r="1643" spans="1:4" x14ac:dyDescent="0.25">
      <c r="A1643" s="8"/>
      <c r="B1643" s="8"/>
      <c r="C1643" s="8"/>
      <c r="D1643" s="8"/>
    </row>
    <row r="1644" spans="1:4" x14ac:dyDescent="0.25">
      <c r="A1644" s="8"/>
      <c r="B1644" s="8"/>
      <c r="C1644" s="8"/>
      <c r="D1644" s="8"/>
    </row>
    <row r="1645" spans="1:4" x14ac:dyDescent="0.25">
      <c r="A1645" s="8"/>
      <c r="B1645" s="8"/>
      <c r="C1645" s="8"/>
      <c r="D1645" s="8"/>
    </row>
    <row r="1646" spans="1:4" x14ac:dyDescent="0.25">
      <c r="A1646" s="8"/>
      <c r="B1646" s="8"/>
      <c r="C1646" s="8"/>
      <c r="D1646" s="8"/>
    </row>
    <row r="1647" spans="1:4" x14ac:dyDescent="0.25">
      <c r="A1647" s="8"/>
      <c r="B1647" s="8"/>
      <c r="C1647" s="8"/>
      <c r="D1647" s="8"/>
    </row>
    <row r="1648" spans="1:4" x14ac:dyDescent="0.25">
      <c r="A1648" s="8"/>
      <c r="B1648" s="8"/>
      <c r="C1648" s="8"/>
      <c r="D1648" s="8"/>
    </row>
    <row r="1649" spans="1:4" x14ac:dyDescent="0.25">
      <c r="A1649" s="8"/>
      <c r="B1649" s="8"/>
      <c r="C1649" s="8"/>
      <c r="D1649" s="8"/>
    </row>
    <row r="1650" spans="1:4" x14ac:dyDescent="0.25">
      <c r="A1650" s="8"/>
      <c r="B1650" s="8"/>
      <c r="C1650" s="8"/>
      <c r="D1650" s="8"/>
    </row>
    <row r="1651" spans="1:4" x14ac:dyDescent="0.25">
      <c r="A1651" s="8"/>
      <c r="B1651" s="8"/>
      <c r="C1651" s="8"/>
      <c r="D1651" s="8"/>
    </row>
    <row r="1652" spans="1:4" x14ac:dyDescent="0.25">
      <c r="A1652" s="8"/>
      <c r="B1652" s="8"/>
      <c r="C1652" s="8"/>
      <c r="D1652" s="8"/>
    </row>
    <row r="1653" spans="1:4" x14ac:dyDescent="0.25">
      <c r="A1653" s="8"/>
      <c r="B1653" s="8"/>
      <c r="C1653" s="8"/>
      <c r="D1653" s="8"/>
    </row>
    <row r="1654" spans="1:4" x14ac:dyDescent="0.25">
      <c r="A1654" s="8"/>
      <c r="B1654" s="8"/>
      <c r="C1654" s="8"/>
      <c r="D1654" s="8"/>
    </row>
    <row r="1655" spans="1:4" x14ac:dyDescent="0.25">
      <c r="A1655" s="8"/>
      <c r="B1655" s="8"/>
      <c r="C1655" s="8"/>
      <c r="D1655" s="8"/>
    </row>
    <row r="1656" spans="1:4" x14ac:dyDescent="0.25">
      <c r="A1656" s="8"/>
      <c r="B1656" s="8"/>
      <c r="C1656" s="8"/>
      <c r="D1656" s="8"/>
    </row>
    <row r="1657" spans="1:4" x14ac:dyDescent="0.25">
      <c r="A1657" s="8"/>
      <c r="B1657" s="8"/>
      <c r="C1657" s="8"/>
      <c r="D1657" s="8"/>
    </row>
    <row r="1658" spans="1:4" x14ac:dyDescent="0.25">
      <c r="A1658" s="8"/>
      <c r="B1658" s="8"/>
      <c r="C1658" s="8"/>
      <c r="D1658" s="8"/>
    </row>
    <row r="1659" spans="1:4" x14ac:dyDescent="0.25">
      <c r="A1659" s="8"/>
      <c r="B1659" s="8"/>
      <c r="C1659" s="8"/>
      <c r="D1659" s="8"/>
    </row>
    <row r="1660" spans="1:4" x14ac:dyDescent="0.25">
      <c r="A1660" s="8"/>
      <c r="B1660" s="8"/>
      <c r="C1660" s="8"/>
      <c r="D1660" s="8"/>
    </row>
    <row r="1661" spans="1:4" x14ac:dyDescent="0.25">
      <c r="A1661" s="8"/>
      <c r="B1661" s="8"/>
      <c r="C1661" s="8"/>
      <c r="D1661" s="8"/>
    </row>
    <row r="1662" spans="1:4" x14ac:dyDescent="0.25">
      <c r="A1662" s="8"/>
      <c r="B1662" s="8"/>
      <c r="C1662" s="8"/>
      <c r="D1662" s="8"/>
    </row>
    <row r="1663" spans="1:4" x14ac:dyDescent="0.25">
      <c r="A1663" s="8"/>
      <c r="B1663" s="8"/>
      <c r="C1663" s="8"/>
      <c r="D1663" s="8"/>
    </row>
    <row r="1664" spans="1:4" x14ac:dyDescent="0.25">
      <c r="A1664" s="8"/>
      <c r="B1664" s="8"/>
      <c r="C1664" s="8"/>
      <c r="D1664" s="8"/>
    </row>
    <row r="1665" spans="1:4" x14ac:dyDescent="0.25">
      <c r="A1665" s="8"/>
      <c r="B1665" s="8"/>
      <c r="C1665" s="8"/>
      <c r="D1665" s="8"/>
    </row>
    <row r="1666" spans="1:4" x14ac:dyDescent="0.25">
      <c r="A1666" s="8"/>
      <c r="B1666" s="8"/>
      <c r="C1666" s="8"/>
      <c r="D1666" s="8"/>
    </row>
    <row r="1667" spans="1:4" x14ac:dyDescent="0.25">
      <c r="A1667" s="8"/>
      <c r="B1667" s="8"/>
      <c r="C1667" s="8"/>
      <c r="D1667" s="8"/>
    </row>
    <row r="1668" spans="1:4" x14ac:dyDescent="0.25">
      <c r="A1668" s="8"/>
      <c r="B1668" s="8"/>
      <c r="C1668" s="8"/>
      <c r="D1668" s="8"/>
    </row>
    <row r="1669" spans="1:4" x14ac:dyDescent="0.25">
      <c r="A1669" s="8"/>
      <c r="B1669" s="8"/>
      <c r="C1669" s="8"/>
      <c r="D1669" s="8"/>
    </row>
    <row r="1670" spans="1:4" x14ac:dyDescent="0.25">
      <c r="A1670" s="8"/>
      <c r="B1670" s="8"/>
      <c r="C1670" s="8"/>
      <c r="D1670" s="8"/>
    </row>
    <row r="1671" spans="1:4" x14ac:dyDescent="0.25">
      <c r="A1671" s="8"/>
      <c r="B1671" s="8"/>
      <c r="C1671" s="8"/>
      <c r="D1671" s="8"/>
    </row>
    <row r="1672" spans="1:4" x14ac:dyDescent="0.25">
      <c r="A1672" s="8"/>
      <c r="B1672" s="8"/>
      <c r="C1672" s="8"/>
      <c r="D1672" s="8"/>
    </row>
    <row r="1673" spans="1:4" x14ac:dyDescent="0.25">
      <c r="A1673" s="8"/>
      <c r="B1673" s="8"/>
      <c r="C1673" s="8"/>
      <c r="D1673" s="8"/>
    </row>
    <row r="1674" spans="1:4" x14ac:dyDescent="0.25">
      <c r="A1674" s="8"/>
      <c r="B1674" s="8"/>
      <c r="C1674" s="8"/>
      <c r="D1674" s="8"/>
    </row>
    <row r="1675" spans="1:4" x14ac:dyDescent="0.25">
      <c r="A1675" s="8"/>
      <c r="B1675" s="8"/>
      <c r="C1675" s="8"/>
      <c r="D1675" s="8"/>
    </row>
    <row r="1676" spans="1:4" x14ac:dyDescent="0.25">
      <c r="A1676" s="8"/>
      <c r="B1676" s="8"/>
      <c r="C1676" s="8"/>
      <c r="D1676" s="8"/>
    </row>
    <row r="1677" spans="1:4" x14ac:dyDescent="0.25">
      <c r="A1677" s="8"/>
      <c r="B1677" s="8"/>
      <c r="C1677" s="8"/>
      <c r="D1677" s="8"/>
    </row>
    <row r="1678" spans="1:4" x14ac:dyDescent="0.25">
      <c r="A1678" s="8"/>
      <c r="B1678" s="8"/>
      <c r="C1678" s="8"/>
      <c r="D1678" s="8"/>
    </row>
    <row r="1679" spans="1:4" x14ac:dyDescent="0.25">
      <c r="A1679" s="8"/>
      <c r="B1679" s="8"/>
      <c r="C1679" s="8"/>
      <c r="D1679" s="8"/>
    </row>
    <row r="1680" spans="1:4" x14ac:dyDescent="0.25">
      <c r="A1680" s="8"/>
      <c r="B1680" s="8"/>
      <c r="C1680" s="8"/>
      <c r="D1680" s="8"/>
    </row>
    <row r="1681" spans="1:4" x14ac:dyDescent="0.25">
      <c r="A1681" s="8"/>
      <c r="B1681" s="8"/>
      <c r="C1681" s="8"/>
      <c r="D1681" s="8"/>
    </row>
    <row r="1682" spans="1:4" x14ac:dyDescent="0.25">
      <c r="A1682" s="8"/>
      <c r="B1682" s="8"/>
      <c r="C1682" s="8"/>
      <c r="D1682" s="8"/>
    </row>
    <row r="1683" spans="1:4" x14ac:dyDescent="0.25">
      <c r="A1683" s="8"/>
      <c r="B1683" s="8"/>
      <c r="C1683" s="8"/>
      <c r="D1683" s="8"/>
    </row>
    <row r="1684" spans="1:4" x14ac:dyDescent="0.25">
      <c r="A1684" s="8"/>
      <c r="B1684" s="8"/>
      <c r="C1684" s="8"/>
      <c r="D1684" s="8"/>
    </row>
    <row r="1685" spans="1:4" x14ac:dyDescent="0.25">
      <c r="A1685" s="8"/>
      <c r="B1685" s="8"/>
      <c r="C1685" s="8"/>
      <c r="D1685" s="8"/>
    </row>
    <row r="1686" spans="1:4" x14ac:dyDescent="0.25">
      <c r="A1686" s="8"/>
      <c r="B1686" s="8"/>
      <c r="C1686" s="8"/>
      <c r="D1686" s="8"/>
    </row>
    <row r="1687" spans="1:4" x14ac:dyDescent="0.25">
      <c r="A1687" s="8"/>
      <c r="B1687" s="8"/>
      <c r="C1687" s="8"/>
      <c r="D1687" s="8"/>
    </row>
    <row r="1688" spans="1:4" x14ac:dyDescent="0.25">
      <c r="A1688" s="8"/>
      <c r="B1688" s="8"/>
      <c r="C1688" s="8"/>
      <c r="D1688" s="8"/>
    </row>
    <row r="1689" spans="1:4" x14ac:dyDescent="0.25">
      <c r="A1689" s="8"/>
      <c r="B1689" s="8"/>
      <c r="C1689" s="8"/>
      <c r="D1689" s="8"/>
    </row>
    <row r="1690" spans="1:4" x14ac:dyDescent="0.25">
      <c r="A1690" s="8"/>
      <c r="B1690" s="8"/>
      <c r="C1690" s="8"/>
      <c r="D1690" s="8"/>
    </row>
    <row r="1691" spans="1:4" x14ac:dyDescent="0.25">
      <c r="A1691" s="8"/>
      <c r="B1691" s="8"/>
      <c r="C1691" s="8"/>
      <c r="D1691" s="8"/>
    </row>
    <row r="1692" spans="1:4" x14ac:dyDescent="0.25">
      <c r="A1692" s="8"/>
      <c r="B1692" s="8"/>
      <c r="C1692" s="8"/>
      <c r="D1692" s="8"/>
    </row>
    <row r="1693" spans="1:4" x14ac:dyDescent="0.25">
      <c r="A1693" s="8"/>
      <c r="B1693" s="8"/>
      <c r="C1693" s="8"/>
      <c r="D1693" s="8"/>
    </row>
    <row r="1694" spans="1:4" x14ac:dyDescent="0.25">
      <c r="A1694" s="8"/>
      <c r="B1694" s="8"/>
      <c r="C1694" s="8"/>
      <c r="D1694" s="8"/>
    </row>
    <row r="1695" spans="1:4" x14ac:dyDescent="0.25">
      <c r="A1695" s="8"/>
      <c r="B1695" s="8"/>
      <c r="C1695" s="8"/>
      <c r="D1695" s="8"/>
    </row>
    <row r="1696" spans="1:4" x14ac:dyDescent="0.25">
      <c r="A1696" s="8"/>
      <c r="B1696" s="8"/>
      <c r="C1696" s="8"/>
      <c r="D1696" s="8"/>
    </row>
    <row r="1697" spans="1:4" x14ac:dyDescent="0.25">
      <c r="A1697" s="8"/>
      <c r="B1697" s="8"/>
      <c r="C1697" s="8"/>
      <c r="D1697" s="8"/>
    </row>
    <row r="1698" spans="1:4" x14ac:dyDescent="0.25">
      <c r="A1698" s="8"/>
      <c r="B1698" s="8"/>
      <c r="C1698" s="8"/>
      <c r="D1698" s="8"/>
    </row>
    <row r="1699" spans="1:4" x14ac:dyDescent="0.25">
      <c r="A1699" s="8"/>
      <c r="B1699" s="8"/>
      <c r="C1699" s="8"/>
      <c r="D1699" s="8"/>
    </row>
    <row r="1700" spans="1:4" x14ac:dyDescent="0.25">
      <c r="A1700" s="8"/>
      <c r="B1700" s="8"/>
      <c r="C1700" s="8"/>
      <c r="D1700" s="8"/>
    </row>
    <row r="1701" spans="1:4" x14ac:dyDescent="0.25">
      <c r="A1701" s="8"/>
      <c r="B1701" s="8"/>
      <c r="C1701" s="8"/>
      <c r="D1701" s="8"/>
    </row>
    <row r="1702" spans="1:4" x14ac:dyDescent="0.25">
      <c r="A1702" s="8"/>
      <c r="B1702" s="8"/>
      <c r="C1702" s="8"/>
      <c r="D1702" s="8"/>
    </row>
    <row r="1703" spans="1:4" x14ac:dyDescent="0.25">
      <c r="A1703" s="8"/>
      <c r="B1703" s="8"/>
      <c r="C1703" s="8"/>
      <c r="D1703" s="8"/>
    </row>
    <row r="1704" spans="1:4" x14ac:dyDescent="0.25">
      <c r="A1704" s="8"/>
      <c r="B1704" s="8"/>
      <c r="C1704" s="8"/>
      <c r="D1704" s="8"/>
    </row>
    <row r="1705" spans="1:4" x14ac:dyDescent="0.25">
      <c r="A1705" s="8"/>
      <c r="B1705" s="8"/>
      <c r="C1705" s="8"/>
      <c r="D1705" s="8"/>
    </row>
    <row r="1706" spans="1:4" x14ac:dyDescent="0.25">
      <c r="A1706" s="8"/>
      <c r="B1706" s="8"/>
      <c r="C1706" s="8"/>
      <c r="D1706" s="8"/>
    </row>
    <row r="1707" spans="1:4" x14ac:dyDescent="0.25">
      <c r="A1707" s="8"/>
      <c r="B1707" s="8"/>
      <c r="C1707" s="8"/>
      <c r="D1707" s="8"/>
    </row>
    <row r="1708" spans="1:4" x14ac:dyDescent="0.25">
      <c r="A1708" s="8"/>
      <c r="B1708" s="8"/>
      <c r="C1708" s="8"/>
      <c r="D1708" s="8"/>
    </row>
    <row r="1709" spans="1:4" x14ac:dyDescent="0.25">
      <c r="A1709" s="8"/>
      <c r="B1709" s="8"/>
      <c r="C1709" s="8"/>
      <c r="D1709" s="8"/>
    </row>
    <row r="1710" spans="1:4" x14ac:dyDescent="0.25">
      <c r="A1710" s="8"/>
      <c r="B1710" s="8"/>
      <c r="C1710" s="8"/>
      <c r="D1710" s="8"/>
    </row>
    <row r="1711" spans="1:4" x14ac:dyDescent="0.25">
      <c r="A1711" s="8"/>
      <c r="B1711" s="8"/>
      <c r="C1711" s="8"/>
      <c r="D1711" s="8"/>
    </row>
    <row r="1712" spans="1:4" x14ac:dyDescent="0.25">
      <c r="A1712" s="8"/>
      <c r="B1712" s="8"/>
      <c r="C1712" s="8"/>
      <c r="D1712" s="8"/>
    </row>
    <row r="1713" spans="1:4" x14ac:dyDescent="0.25">
      <c r="A1713" s="8"/>
      <c r="B1713" s="8"/>
      <c r="C1713" s="8"/>
      <c r="D1713" s="8"/>
    </row>
    <row r="1714" spans="1:4" x14ac:dyDescent="0.25">
      <c r="A1714" s="8"/>
      <c r="B1714" s="8"/>
      <c r="C1714" s="8"/>
      <c r="D1714" s="8"/>
    </row>
    <row r="1715" spans="1:4" x14ac:dyDescent="0.25">
      <c r="A1715" s="8"/>
      <c r="B1715" s="8"/>
      <c r="C1715" s="8"/>
      <c r="D1715" s="8"/>
    </row>
    <row r="1716" spans="1:4" x14ac:dyDescent="0.25">
      <c r="A1716" s="8"/>
      <c r="B1716" s="8"/>
      <c r="C1716" s="8"/>
      <c r="D1716" s="8"/>
    </row>
    <row r="1717" spans="1:4" x14ac:dyDescent="0.25">
      <c r="A1717" s="8"/>
      <c r="B1717" s="8"/>
      <c r="C1717" s="8"/>
      <c r="D1717" s="8"/>
    </row>
    <row r="1718" spans="1:4" x14ac:dyDescent="0.25">
      <c r="A1718" s="8"/>
      <c r="B1718" s="8"/>
      <c r="C1718" s="8"/>
      <c r="D1718" s="8"/>
    </row>
    <row r="1719" spans="1:4" x14ac:dyDescent="0.25">
      <c r="A1719" s="8"/>
      <c r="B1719" s="8"/>
      <c r="C1719" s="8"/>
      <c r="D1719" s="8"/>
    </row>
    <row r="1720" spans="1:4" x14ac:dyDescent="0.25">
      <c r="A1720" s="8"/>
      <c r="B1720" s="8"/>
      <c r="C1720" s="8"/>
      <c r="D1720" s="8"/>
    </row>
    <row r="1721" spans="1:4" x14ac:dyDescent="0.25">
      <c r="A1721" s="8"/>
      <c r="B1721" s="8"/>
      <c r="C1721" s="8"/>
      <c r="D1721" s="8"/>
    </row>
    <row r="1722" spans="1:4" x14ac:dyDescent="0.25">
      <c r="A1722" s="8"/>
      <c r="B1722" s="8"/>
      <c r="C1722" s="8"/>
      <c r="D1722" s="8"/>
    </row>
    <row r="1723" spans="1:4" x14ac:dyDescent="0.25">
      <c r="A1723" s="8"/>
      <c r="B1723" s="8"/>
      <c r="C1723" s="8"/>
      <c r="D1723" s="8"/>
    </row>
    <row r="1724" spans="1:4" x14ac:dyDescent="0.25">
      <c r="A1724" s="8"/>
      <c r="B1724" s="8"/>
      <c r="C1724" s="8"/>
      <c r="D1724" s="8"/>
    </row>
    <row r="1725" spans="1:4" x14ac:dyDescent="0.25">
      <c r="A1725" s="8"/>
      <c r="B1725" s="8"/>
      <c r="C1725" s="8"/>
      <c r="D1725" s="8"/>
    </row>
    <row r="1726" spans="1:4" x14ac:dyDescent="0.25">
      <c r="A1726" s="8"/>
      <c r="B1726" s="8"/>
      <c r="C1726" s="8"/>
      <c r="D1726" s="8"/>
    </row>
    <row r="1727" spans="1:4" x14ac:dyDescent="0.25">
      <c r="A1727" s="8"/>
      <c r="B1727" s="8"/>
      <c r="C1727" s="8"/>
      <c r="D1727" s="8"/>
    </row>
    <row r="1728" spans="1:4" x14ac:dyDescent="0.25">
      <c r="A1728" s="8"/>
      <c r="B1728" s="8"/>
      <c r="C1728" s="8"/>
      <c r="D1728" s="8"/>
    </row>
    <row r="1729" spans="1:4" x14ac:dyDescent="0.25">
      <c r="A1729" s="8"/>
      <c r="B1729" s="8"/>
      <c r="C1729" s="8"/>
      <c r="D1729" s="8"/>
    </row>
    <row r="1730" spans="1:4" x14ac:dyDescent="0.25">
      <c r="A1730" s="8"/>
      <c r="B1730" s="8"/>
      <c r="C1730" s="8"/>
      <c r="D1730" s="8"/>
    </row>
    <row r="1731" spans="1:4" x14ac:dyDescent="0.25">
      <c r="A1731" s="8"/>
      <c r="B1731" s="8"/>
      <c r="C1731" s="8"/>
      <c r="D1731" s="8"/>
    </row>
    <row r="1732" spans="1:4" x14ac:dyDescent="0.25">
      <c r="A1732" s="8"/>
      <c r="B1732" s="8"/>
      <c r="C1732" s="8"/>
      <c r="D1732" s="8"/>
    </row>
    <row r="1733" spans="1:4" x14ac:dyDescent="0.25">
      <c r="A1733" s="8"/>
      <c r="B1733" s="8"/>
      <c r="C1733" s="8"/>
      <c r="D1733" s="8"/>
    </row>
    <row r="1734" spans="1:4" x14ac:dyDescent="0.25">
      <c r="A1734" s="8"/>
      <c r="B1734" s="8"/>
      <c r="C1734" s="8"/>
      <c r="D1734" s="8"/>
    </row>
    <row r="1735" spans="1:4" x14ac:dyDescent="0.25">
      <c r="A1735" s="8"/>
      <c r="B1735" s="8"/>
      <c r="C1735" s="8"/>
      <c r="D1735" s="8"/>
    </row>
    <row r="1736" spans="1:4" x14ac:dyDescent="0.25">
      <c r="A1736" s="8"/>
      <c r="B1736" s="8"/>
      <c r="C1736" s="8"/>
      <c r="D1736" s="8"/>
    </row>
    <row r="1737" spans="1:4" x14ac:dyDescent="0.25">
      <c r="A1737" s="8"/>
      <c r="B1737" s="8"/>
      <c r="C1737" s="8"/>
      <c r="D1737" s="8"/>
    </row>
    <row r="1738" spans="1:4" x14ac:dyDescent="0.25">
      <c r="A1738" s="8"/>
      <c r="B1738" s="8"/>
      <c r="C1738" s="8"/>
      <c r="D1738" s="8"/>
    </row>
    <row r="1739" spans="1:4" x14ac:dyDescent="0.25">
      <c r="A1739" s="8"/>
      <c r="B1739" s="8"/>
      <c r="C1739" s="8"/>
      <c r="D1739" s="8"/>
    </row>
    <row r="1740" spans="1:4" x14ac:dyDescent="0.25">
      <c r="A1740" s="8"/>
      <c r="B1740" s="8"/>
      <c r="C1740" s="8"/>
      <c r="D1740" s="8"/>
    </row>
    <row r="1741" spans="1:4" x14ac:dyDescent="0.25">
      <c r="A1741" s="8"/>
      <c r="B1741" s="8"/>
      <c r="C1741" s="8"/>
      <c r="D1741" s="8"/>
    </row>
    <row r="1742" spans="1:4" x14ac:dyDescent="0.25">
      <c r="A1742" s="8"/>
      <c r="B1742" s="8"/>
      <c r="C1742" s="8"/>
      <c r="D1742" s="8"/>
    </row>
    <row r="1743" spans="1:4" x14ac:dyDescent="0.25">
      <c r="A1743" s="8"/>
      <c r="B1743" s="8"/>
      <c r="C1743" s="8"/>
      <c r="D1743" s="8"/>
    </row>
    <row r="1744" spans="1:4" x14ac:dyDescent="0.25">
      <c r="A1744" s="8"/>
      <c r="B1744" s="8"/>
      <c r="C1744" s="8"/>
      <c r="D1744" s="8"/>
    </row>
    <row r="1745" spans="1:4" x14ac:dyDescent="0.25">
      <c r="A1745" s="8"/>
      <c r="B1745" s="8"/>
      <c r="C1745" s="8"/>
      <c r="D1745" s="8"/>
    </row>
    <row r="1746" spans="1:4" x14ac:dyDescent="0.25">
      <c r="A1746" s="8"/>
      <c r="B1746" s="8"/>
      <c r="C1746" s="8"/>
      <c r="D1746" s="8"/>
    </row>
    <row r="1747" spans="1:4" x14ac:dyDescent="0.25">
      <c r="A1747" s="8"/>
      <c r="B1747" s="8"/>
      <c r="C1747" s="8"/>
      <c r="D1747" s="8"/>
    </row>
    <row r="1748" spans="1:4" x14ac:dyDescent="0.25">
      <c r="A1748" s="8"/>
      <c r="B1748" s="8"/>
      <c r="C1748" s="8"/>
      <c r="D1748" s="8"/>
    </row>
    <row r="1749" spans="1:4" x14ac:dyDescent="0.25">
      <c r="A1749" s="8"/>
      <c r="B1749" s="8"/>
      <c r="C1749" s="8"/>
      <c r="D1749" s="8"/>
    </row>
    <row r="1750" spans="1:4" x14ac:dyDescent="0.25">
      <c r="A1750" s="8"/>
      <c r="B1750" s="8"/>
      <c r="C1750" s="8"/>
      <c r="D1750" s="8"/>
    </row>
    <row r="1751" spans="1:4" x14ac:dyDescent="0.25">
      <c r="A1751" s="8"/>
      <c r="B1751" s="8"/>
      <c r="C1751" s="8"/>
      <c r="D1751" s="8"/>
    </row>
    <row r="1752" spans="1:4" x14ac:dyDescent="0.25">
      <c r="A1752" s="8"/>
      <c r="B1752" s="8"/>
      <c r="C1752" s="8"/>
      <c r="D1752" s="8"/>
    </row>
    <row r="1753" spans="1:4" x14ac:dyDescent="0.25">
      <c r="A1753" s="8"/>
      <c r="B1753" s="8"/>
      <c r="C1753" s="8"/>
      <c r="D1753" s="8"/>
    </row>
    <row r="1754" spans="1:4" x14ac:dyDescent="0.25">
      <c r="A1754" s="8"/>
      <c r="B1754" s="8"/>
      <c r="C1754" s="8"/>
      <c r="D1754" s="8"/>
    </row>
    <row r="1755" spans="1:4" x14ac:dyDescent="0.25">
      <c r="A1755" s="8"/>
      <c r="B1755" s="8"/>
      <c r="C1755" s="8"/>
      <c r="D1755" s="8"/>
    </row>
    <row r="1756" spans="1:4" x14ac:dyDescent="0.25">
      <c r="A1756" s="8"/>
      <c r="B1756" s="8"/>
      <c r="C1756" s="8"/>
      <c r="D1756" s="8"/>
    </row>
    <row r="1757" spans="1:4" x14ac:dyDescent="0.25">
      <c r="A1757" s="8"/>
      <c r="B1757" s="8"/>
      <c r="C1757" s="8"/>
      <c r="D1757" s="8"/>
    </row>
    <row r="1758" spans="1:4" x14ac:dyDescent="0.25">
      <c r="A1758" s="8"/>
      <c r="B1758" s="8"/>
      <c r="C1758" s="8"/>
      <c r="D1758" s="8"/>
    </row>
    <row r="1759" spans="1:4" x14ac:dyDescent="0.25">
      <c r="A1759" s="8"/>
      <c r="B1759" s="8"/>
      <c r="C1759" s="8"/>
      <c r="D1759" s="8"/>
    </row>
    <row r="1760" spans="1:4" x14ac:dyDescent="0.25">
      <c r="A1760" s="8"/>
      <c r="B1760" s="8"/>
      <c r="C1760" s="8"/>
      <c r="D1760" s="8"/>
    </row>
    <row r="1761" spans="1:4" x14ac:dyDescent="0.25">
      <c r="A1761" s="8"/>
      <c r="B1761" s="8"/>
      <c r="C1761" s="8"/>
      <c r="D1761" s="8"/>
    </row>
    <row r="1762" spans="1:4" x14ac:dyDescent="0.25">
      <c r="A1762" s="8"/>
      <c r="B1762" s="8"/>
      <c r="C1762" s="8"/>
      <c r="D1762" s="8"/>
    </row>
    <row r="1763" spans="1:4" x14ac:dyDescent="0.25">
      <c r="A1763" s="8"/>
      <c r="B1763" s="8"/>
      <c r="C1763" s="8"/>
      <c r="D1763" s="8"/>
    </row>
    <row r="1764" spans="1:4" x14ac:dyDescent="0.25">
      <c r="A1764" s="8"/>
      <c r="B1764" s="8"/>
      <c r="C1764" s="8"/>
      <c r="D1764" s="8"/>
    </row>
    <row r="1765" spans="1:4" x14ac:dyDescent="0.25">
      <c r="A1765" s="8"/>
      <c r="B1765" s="8"/>
      <c r="C1765" s="8"/>
      <c r="D1765" s="8"/>
    </row>
    <row r="1766" spans="1:4" x14ac:dyDescent="0.25">
      <c r="A1766" s="8"/>
      <c r="B1766" s="8"/>
      <c r="C1766" s="8"/>
      <c r="D1766" s="8"/>
    </row>
    <row r="1767" spans="1:4" x14ac:dyDescent="0.25">
      <c r="A1767" s="8"/>
      <c r="B1767" s="8"/>
      <c r="C1767" s="8"/>
      <c r="D1767" s="8"/>
    </row>
    <row r="1768" spans="1:4" x14ac:dyDescent="0.25">
      <c r="A1768" s="8"/>
      <c r="B1768" s="8"/>
      <c r="C1768" s="8"/>
      <c r="D1768" s="8"/>
    </row>
    <row r="1769" spans="1:4" x14ac:dyDescent="0.25">
      <c r="A1769" s="8"/>
      <c r="B1769" s="8"/>
      <c r="C1769" s="8"/>
      <c r="D1769" s="8"/>
    </row>
    <row r="1770" spans="1:4" x14ac:dyDescent="0.25">
      <c r="A1770" s="8"/>
      <c r="B1770" s="8"/>
      <c r="C1770" s="8"/>
      <c r="D1770" s="8"/>
    </row>
    <row r="1771" spans="1:4" x14ac:dyDescent="0.25">
      <c r="A1771" s="8"/>
      <c r="B1771" s="8"/>
      <c r="C1771" s="8"/>
      <c r="D1771" s="8"/>
    </row>
    <row r="1772" spans="1:4" x14ac:dyDescent="0.25">
      <c r="A1772" s="8"/>
      <c r="B1772" s="8"/>
      <c r="C1772" s="8"/>
      <c r="D1772" s="8"/>
    </row>
    <row r="1773" spans="1:4" x14ac:dyDescent="0.25">
      <c r="A1773" s="8"/>
      <c r="B1773" s="8"/>
      <c r="C1773" s="8"/>
      <c r="D1773" s="8"/>
    </row>
    <row r="1774" spans="1:4" x14ac:dyDescent="0.25">
      <c r="A1774" s="8"/>
      <c r="B1774" s="8"/>
      <c r="C1774" s="8"/>
      <c r="D1774" s="8"/>
    </row>
    <row r="1775" spans="1:4" x14ac:dyDescent="0.25">
      <c r="A1775" s="8"/>
      <c r="B1775" s="8"/>
      <c r="C1775" s="8"/>
      <c r="D1775" s="8"/>
    </row>
    <row r="1776" spans="1:4" x14ac:dyDescent="0.25">
      <c r="A1776" s="8"/>
      <c r="B1776" s="8"/>
      <c r="C1776" s="8"/>
      <c r="D1776" s="8"/>
    </row>
    <row r="1777" spans="1:4" x14ac:dyDescent="0.25">
      <c r="A1777" s="8"/>
      <c r="B1777" s="8"/>
      <c r="C1777" s="8"/>
      <c r="D1777" s="8"/>
    </row>
    <row r="1778" spans="1:4" x14ac:dyDescent="0.25">
      <c r="A1778" s="8"/>
      <c r="B1778" s="8"/>
      <c r="C1778" s="8"/>
      <c r="D1778" s="8"/>
    </row>
    <row r="1779" spans="1:4" x14ac:dyDescent="0.25">
      <c r="A1779" s="8"/>
      <c r="B1779" s="8"/>
      <c r="C1779" s="8"/>
      <c r="D1779" s="8"/>
    </row>
    <row r="1780" spans="1:4" x14ac:dyDescent="0.25">
      <c r="A1780" s="8"/>
      <c r="B1780" s="8"/>
      <c r="C1780" s="8"/>
      <c r="D1780" s="8"/>
    </row>
    <row r="1781" spans="1:4" x14ac:dyDescent="0.25">
      <c r="A1781" s="8"/>
      <c r="B1781" s="8"/>
      <c r="C1781" s="8"/>
      <c r="D1781" s="8"/>
    </row>
    <row r="1782" spans="1:4" x14ac:dyDescent="0.25">
      <c r="A1782" s="8"/>
      <c r="B1782" s="8"/>
      <c r="C1782" s="8"/>
      <c r="D1782" s="8"/>
    </row>
    <row r="1783" spans="1:4" x14ac:dyDescent="0.25">
      <c r="A1783" s="8"/>
      <c r="B1783" s="8"/>
      <c r="C1783" s="8"/>
      <c r="D1783" s="8"/>
    </row>
    <row r="1784" spans="1:4" x14ac:dyDescent="0.25">
      <c r="A1784" s="8"/>
      <c r="B1784" s="8"/>
      <c r="C1784" s="8"/>
      <c r="D1784" s="8"/>
    </row>
    <row r="1785" spans="1:4" x14ac:dyDescent="0.25">
      <c r="A1785" s="8"/>
      <c r="B1785" s="8"/>
      <c r="C1785" s="8"/>
      <c r="D1785" s="8"/>
    </row>
    <row r="1786" spans="1:4" x14ac:dyDescent="0.25">
      <c r="A1786" s="8"/>
      <c r="B1786" s="8"/>
      <c r="C1786" s="8"/>
      <c r="D1786" s="8"/>
    </row>
    <row r="1787" spans="1:4" x14ac:dyDescent="0.25">
      <c r="A1787" s="8"/>
      <c r="B1787" s="8"/>
      <c r="C1787" s="8"/>
      <c r="D1787" s="8"/>
    </row>
    <row r="1788" spans="1:4" x14ac:dyDescent="0.25">
      <c r="A1788" s="8"/>
      <c r="B1788" s="8"/>
      <c r="C1788" s="8"/>
      <c r="D1788" s="8"/>
    </row>
    <row r="1789" spans="1:4" x14ac:dyDescent="0.25">
      <c r="A1789" s="8"/>
      <c r="B1789" s="8"/>
      <c r="C1789" s="8"/>
      <c r="D1789" s="8"/>
    </row>
    <row r="1790" spans="1:4" x14ac:dyDescent="0.25">
      <c r="A1790" s="8"/>
      <c r="B1790" s="8"/>
      <c r="C1790" s="8"/>
      <c r="D1790" s="8"/>
    </row>
    <row r="1791" spans="1:4" x14ac:dyDescent="0.25">
      <c r="A1791" s="8"/>
      <c r="B1791" s="8"/>
      <c r="C1791" s="8"/>
      <c r="D1791" s="8"/>
    </row>
    <row r="1792" spans="1:4" x14ac:dyDescent="0.25">
      <c r="A1792" s="8"/>
      <c r="B1792" s="8"/>
      <c r="C1792" s="8"/>
      <c r="D1792" s="8"/>
    </row>
    <row r="1793" spans="1:4" x14ac:dyDescent="0.25">
      <c r="A1793" s="8"/>
      <c r="B1793" s="8"/>
      <c r="C1793" s="8"/>
      <c r="D1793" s="8"/>
    </row>
    <row r="1794" spans="1:4" x14ac:dyDescent="0.25">
      <c r="A1794" s="8"/>
      <c r="B1794" s="8"/>
      <c r="C1794" s="8"/>
      <c r="D1794" s="8"/>
    </row>
    <row r="1795" spans="1:4" x14ac:dyDescent="0.25">
      <c r="A1795" s="8"/>
      <c r="B1795" s="8"/>
      <c r="C1795" s="8"/>
      <c r="D1795" s="8"/>
    </row>
    <row r="1796" spans="1:4" x14ac:dyDescent="0.25">
      <c r="A1796" s="8"/>
      <c r="B1796" s="8"/>
      <c r="C1796" s="8"/>
      <c r="D1796" s="8"/>
    </row>
    <row r="1797" spans="1:4" x14ac:dyDescent="0.25">
      <c r="A1797" s="8"/>
      <c r="B1797" s="8"/>
      <c r="C1797" s="8"/>
      <c r="D1797" s="8"/>
    </row>
    <row r="1798" spans="1:4" x14ac:dyDescent="0.25">
      <c r="A1798" s="8"/>
      <c r="B1798" s="8"/>
      <c r="C1798" s="8"/>
      <c r="D1798" s="8"/>
    </row>
    <row r="1799" spans="1:4" x14ac:dyDescent="0.25">
      <c r="A1799" s="8"/>
      <c r="B1799" s="8"/>
      <c r="C1799" s="8"/>
      <c r="D1799" s="8"/>
    </row>
    <row r="1800" spans="1:4" x14ac:dyDescent="0.25">
      <c r="A1800" s="8"/>
      <c r="B1800" s="8"/>
      <c r="C1800" s="8"/>
      <c r="D1800" s="8"/>
    </row>
    <row r="1801" spans="1:4" x14ac:dyDescent="0.25">
      <c r="A1801" s="8"/>
      <c r="B1801" s="8"/>
      <c r="C1801" s="8"/>
      <c r="D1801" s="8"/>
    </row>
    <row r="1802" spans="1:4" x14ac:dyDescent="0.25">
      <c r="A1802" s="8"/>
      <c r="B1802" s="8"/>
      <c r="C1802" s="8"/>
      <c r="D1802" s="8"/>
    </row>
    <row r="1803" spans="1:4" x14ac:dyDescent="0.25">
      <c r="A1803" s="8"/>
      <c r="B1803" s="8"/>
      <c r="C1803" s="8"/>
      <c r="D1803" s="8"/>
    </row>
    <row r="1804" spans="1:4" x14ac:dyDescent="0.25">
      <c r="A1804" s="8"/>
      <c r="B1804" s="8"/>
      <c r="C1804" s="8"/>
      <c r="D1804" s="8"/>
    </row>
    <row r="1805" spans="1:4" x14ac:dyDescent="0.25">
      <c r="A1805" s="8"/>
      <c r="B1805" s="8"/>
      <c r="C1805" s="8"/>
      <c r="D1805" s="8"/>
    </row>
    <row r="1806" spans="1:4" x14ac:dyDescent="0.25">
      <c r="A1806" s="8"/>
      <c r="B1806" s="8"/>
      <c r="C1806" s="8"/>
      <c r="D1806" s="8"/>
    </row>
    <row r="1807" spans="1:4" x14ac:dyDescent="0.25">
      <c r="A1807" s="8"/>
      <c r="B1807" s="8"/>
      <c r="C1807" s="8"/>
      <c r="D1807" s="8"/>
    </row>
    <row r="1808" spans="1:4" x14ac:dyDescent="0.25">
      <c r="A1808" s="8"/>
      <c r="B1808" s="8"/>
      <c r="C1808" s="8"/>
      <c r="D1808" s="8"/>
    </row>
    <row r="1809" spans="1:14" x14ac:dyDescent="0.25">
      <c r="A1809" s="8"/>
      <c r="B1809" s="8"/>
      <c r="C1809" s="8"/>
      <c r="D1809" s="8"/>
      <c r="M1809">
        <v>25</v>
      </c>
      <c r="N1809">
        <v>25</v>
      </c>
    </row>
    <row r="1810" spans="1:14" x14ac:dyDescent="0.25">
      <c r="A1810" s="8"/>
      <c r="B1810" s="8"/>
      <c r="C1810" s="8"/>
      <c r="D1810" s="8"/>
      <c r="M1810">
        <v>100</v>
      </c>
      <c r="N1810">
        <v>100</v>
      </c>
    </row>
    <row r="1811" spans="1:14" x14ac:dyDescent="0.25">
      <c r="A1811" s="8"/>
      <c r="B1811" s="8"/>
      <c r="C1811" s="8"/>
      <c r="D1811" s="8"/>
    </row>
    <row r="1812" spans="1:14" x14ac:dyDescent="0.25">
      <c r="A1812" s="8"/>
      <c r="B1812" s="8"/>
      <c r="C1812" s="8"/>
      <c r="D1812" s="8"/>
    </row>
    <row r="1813" spans="1:14" x14ac:dyDescent="0.25">
      <c r="A1813" s="8"/>
      <c r="B1813" s="8"/>
      <c r="C1813" s="8"/>
      <c r="D1813" s="8"/>
    </row>
    <row r="1814" spans="1:14" x14ac:dyDescent="0.25">
      <c r="A1814" s="8"/>
      <c r="B1814" s="8"/>
      <c r="C1814" s="8"/>
      <c r="D1814" s="8"/>
    </row>
    <row r="1815" spans="1:14" x14ac:dyDescent="0.25">
      <c r="A1815" s="8"/>
      <c r="B1815" s="8"/>
      <c r="C1815" s="8"/>
      <c r="D1815" s="8"/>
    </row>
    <row r="1816" spans="1:14" x14ac:dyDescent="0.25">
      <c r="A1816" s="8"/>
      <c r="B1816" s="8"/>
      <c r="C1816" s="8"/>
      <c r="D1816" s="8"/>
    </row>
    <row r="1817" spans="1:14" x14ac:dyDescent="0.25">
      <c r="A1817" s="8"/>
      <c r="B1817" s="8"/>
      <c r="C1817" s="8"/>
      <c r="D1817" s="8"/>
    </row>
    <row r="1818" spans="1:14" x14ac:dyDescent="0.25">
      <c r="A1818" s="8"/>
      <c r="B1818" s="8"/>
      <c r="C1818" s="8"/>
      <c r="D1818" s="8"/>
    </row>
    <row r="1819" spans="1:14" x14ac:dyDescent="0.25">
      <c r="A1819" s="8"/>
      <c r="B1819" s="8"/>
      <c r="C1819" s="8"/>
      <c r="D1819" s="8"/>
    </row>
    <row r="1820" spans="1:14" x14ac:dyDescent="0.25">
      <c r="A1820" s="8"/>
      <c r="B1820" s="8"/>
      <c r="C1820" s="8"/>
      <c r="D1820" s="8"/>
    </row>
    <row r="1821" spans="1:14" x14ac:dyDescent="0.25">
      <c r="A1821" s="8"/>
      <c r="B1821" s="8"/>
      <c r="C1821" s="8"/>
      <c r="D1821" s="8"/>
    </row>
    <row r="1822" spans="1:14" x14ac:dyDescent="0.25">
      <c r="A1822" s="8"/>
      <c r="B1822" s="8"/>
      <c r="C1822" s="8"/>
      <c r="D1822" s="8"/>
    </row>
    <row r="1823" spans="1:14" x14ac:dyDescent="0.25">
      <c r="A1823" s="8"/>
      <c r="B1823" s="8"/>
      <c r="C1823" s="8"/>
      <c r="D1823" s="8"/>
      <c r="M1823">
        <v>5</v>
      </c>
      <c r="N1823">
        <v>5</v>
      </c>
    </row>
    <row r="1824" spans="1:14" x14ac:dyDescent="0.25">
      <c r="A1824" s="8"/>
      <c r="B1824" s="8"/>
      <c r="C1824" s="8"/>
      <c r="D1824" s="8"/>
      <c r="M1824">
        <v>5</v>
      </c>
      <c r="N1824">
        <v>5</v>
      </c>
    </row>
    <row r="1825" spans="1:4" x14ac:dyDescent="0.25">
      <c r="A1825" s="8"/>
      <c r="B1825" s="8"/>
      <c r="C1825" s="8"/>
      <c r="D1825" s="8"/>
    </row>
    <row r="1826" spans="1:4" x14ac:dyDescent="0.25">
      <c r="A1826" s="8"/>
      <c r="B1826" s="8"/>
      <c r="C1826" s="8"/>
      <c r="D1826" s="8"/>
    </row>
    <row r="1827" spans="1:4" x14ac:dyDescent="0.25">
      <c r="A1827" s="8"/>
      <c r="B1827" s="8"/>
      <c r="C1827" s="8"/>
      <c r="D1827" s="8"/>
    </row>
    <row r="1828" spans="1:4" x14ac:dyDescent="0.25">
      <c r="A1828" s="8"/>
      <c r="B1828" s="8"/>
      <c r="C1828" s="8"/>
      <c r="D1828" s="8"/>
    </row>
    <row r="1829" spans="1:4" x14ac:dyDescent="0.25">
      <c r="A1829" s="8"/>
      <c r="B1829" s="8"/>
      <c r="C1829" s="8"/>
      <c r="D1829" s="8"/>
    </row>
    <row r="1830" spans="1:4" x14ac:dyDescent="0.25">
      <c r="A1830" s="8"/>
      <c r="B1830" s="8"/>
      <c r="C1830" s="8"/>
      <c r="D1830" s="8"/>
    </row>
    <row r="1831" spans="1:4" x14ac:dyDescent="0.25">
      <c r="A1831" s="8"/>
      <c r="B1831" s="8"/>
      <c r="C1831" s="8"/>
      <c r="D1831" s="8"/>
    </row>
    <row r="1832" spans="1:4" x14ac:dyDescent="0.25">
      <c r="A1832" s="8"/>
      <c r="B1832" s="8"/>
      <c r="C1832" s="8"/>
      <c r="D1832" s="8"/>
    </row>
    <row r="1833" spans="1:4" x14ac:dyDescent="0.25">
      <c r="A1833" s="8"/>
      <c r="B1833" s="8"/>
      <c r="C1833" s="8"/>
      <c r="D1833" s="8"/>
    </row>
    <row r="1834" spans="1:4" x14ac:dyDescent="0.25">
      <c r="A1834" s="8"/>
      <c r="B1834" s="8"/>
      <c r="C1834" s="8"/>
      <c r="D1834" s="8"/>
    </row>
    <row r="1835" spans="1:4" x14ac:dyDescent="0.25">
      <c r="A1835" s="8"/>
      <c r="B1835" s="8"/>
      <c r="C1835" s="8"/>
      <c r="D1835" s="8"/>
    </row>
    <row r="1836" spans="1:4" x14ac:dyDescent="0.25">
      <c r="A1836" s="8"/>
      <c r="B1836" s="8"/>
      <c r="C1836" s="8"/>
      <c r="D1836" s="8"/>
    </row>
    <row r="1837" spans="1:4" x14ac:dyDescent="0.25">
      <c r="A1837" s="8"/>
      <c r="B1837" s="8"/>
      <c r="C1837" s="8"/>
      <c r="D1837" s="8"/>
    </row>
    <row r="1838" spans="1:4" x14ac:dyDescent="0.25">
      <c r="A1838" s="8"/>
      <c r="B1838" s="8"/>
      <c r="C1838" s="8"/>
      <c r="D1838" s="8"/>
    </row>
    <row r="1839" spans="1:4" x14ac:dyDescent="0.25">
      <c r="A1839" s="8"/>
      <c r="B1839" s="8"/>
      <c r="C1839" s="8"/>
      <c r="D1839" s="8"/>
    </row>
    <row r="1840" spans="1:4" x14ac:dyDescent="0.25">
      <c r="A1840" s="8"/>
      <c r="B1840" s="8"/>
      <c r="C1840" s="8"/>
      <c r="D1840" s="8"/>
    </row>
    <row r="1841" spans="1:4" x14ac:dyDescent="0.25">
      <c r="A1841" s="8"/>
      <c r="B1841" s="8"/>
      <c r="C1841" s="8"/>
      <c r="D1841" s="8"/>
    </row>
    <row r="1842" spans="1:4" x14ac:dyDescent="0.25">
      <c r="A1842" s="8"/>
      <c r="B1842" s="8"/>
      <c r="C1842" s="8"/>
      <c r="D1842" s="8"/>
    </row>
    <row r="1843" spans="1:4" x14ac:dyDescent="0.25">
      <c r="A1843" s="8"/>
      <c r="B1843" s="8"/>
      <c r="C1843" s="8"/>
      <c r="D1843" s="8"/>
    </row>
    <row r="1844" spans="1:4" x14ac:dyDescent="0.25">
      <c r="A1844" s="8"/>
      <c r="B1844" s="8"/>
      <c r="C1844" s="8"/>
      <c r="D1844" s="8"/>
    </row>
    <row r="1845" spans="1:4" x14ac:dyDescent="0.25">
      <c r="A1845" s="8"/>
      <c r="B1845" s="8"/>
      <c r="C1845" s="8"/>
      <c r="D1845" s="8"/>
    </row>
    <row r="1846" spans="1:4" x14ac:dyDescent="0.25">
      <c r="A1846" s="8"/>
      <c r="B1846" s="8"/>
      <c r="C1846" s="8"/>
      <c r="D1846" s="8"/>
    </row>
    <row r="1847" spans="1:4" x14ac:dyDescent="0.25">
      <c r="A1847" s="8"/>
      <c r="B1847" s="8"/>
      <c r="C1847" s="8"/>
      <c r="D1847" s="8"/>
    </row>
    <row r="1848" spans="1:4" x14ac:dyDescent="0.25">
      <c r="A1848" s="8"/>
      <c r="B1848" s="8"/>
      <c r="C1848" s="8"/>
      <c r="D1848" s="8"/>
    </row>
    <row r="1849" spans="1:4" x14ac:dyDescent="0.25">
      <c r="A1849" s="8"/>
      <c r="B1849" s="8"/>
      <c r="C1849" s="8"/>
      <c r="D1849" s="8"/>
    </row>
    <row r="1850" spans="1:4" x14ac:dyDescent="0.25">
      <c r="A1850" s="8"/>
      <c r="B1850" s="8"/>
      <c r="C1850" s="8"/>
      <c r="D1850" s="8"/>
    </row>
    <row r="1851" spans="1:4" x14ac:dyDescent="0.25">
      <c r="A1851" s="8"/>
      <c r="B1851" s="8"/>
      <c r="C1851" s="8"/>
      <c r="D1851" s="8"/>
    </row>
    <row r="1852" spans="1:4" x14ac:dyDescent="0.25">
      <c r="A1852" s="8"/>
      <c r="B1852" s="8"/>
      <c r="C1852" s="8"/>
      <c r="D1852" s="8"/>
    </row>
    <row r="1853" spans="1:4" x14ac:dyDescent="0.25">
      <c r="A1853" s="8"/>
      <c r="B1853" s="8"/>
      <c r="C1853" s="8"/>
      <c r="D1853" s="8"/>
    </row>
    <row r="1854" spans="1:4" x14ac:dyDescent="0.25">
      <c r="A1854" s="8"/>
      <c r="B1854" s="8"/>
      <c r="C1854" s="8"/>
      <c r="D1854" s="8"/>
    </row>
    <row r="1855" spans="1:4" x14ac:dyDescent="0.25">
      <c r="A1855" s="8"/>
      <c r="B1855" s="8"/>
      <c r="C1855" s="8"/>
      <c r="D1855" s="8"/>
    </row>
    <row r="1856" spans="1:4" x14ac:dyDescent="0.25">
      <c r="A1856" s="8"/>
      <c r="B1856" s="8"/>
      <c r="C1856" s="8"/>
      <c r="D1856" s="8"/>
    </row>
    <row r="1857" spans="1:4" x14ac:dyDescent="0.25">
      <c r="A1857" s="8"/>
      <c r="B1857" s="8"/>
      <c r="C1857" s="8"/>
      <c r="D1857" s="8"/>
    </row>
    <row r="1858" spans="1:4" x14ac:dyDescent="0.25">
      <c r="A1858" s="8"/>
      <c r="B1858" s="8"/>
      <c r="C1858" s="8"/>
      <c r="D1858" s="8"/>
    </row>
    <row r="1859" spans="1:4" x14ac:dyDescent="0.25">
      <c r="A1859" s="8"/>
      <c r="B1859" s="8"/>
      <c r="C1859" s="8"/>
      <c r="D1859" s="8"/>
    </row>
    <row r="1860" spans="1:4" x14ac:dyDescent="0.25">
      <c r="A1860" s="8"/>
      <c r="B1860" s="8"/>
      <c r="C1860" s="8"/>
      <c r="D1860" s="8"/>
    </row>
    <row r="1861" spans="1:4" x14ac:dyDescent="0.25">
      <c r="A1861" s="8"/>
      <c r="B1861" s="8"/>
      <c r="C1861" s="8"/>
      <c r="D1861" s="8"/>
    </row>
    <row r="1862" spans="1:4" x14ac:dyDescent="0.25">
      <c r="A1862" s="8"/>
      <c r="B1862" s="8"/>
      <c r="C1862" s="8"/>
      <c r="D1862" s="8"/>
    </row>
    <row r="1863" spans="1:4" x14ac:dyDescent="0.25">
      <c r="A1863" s="8"/>
      <c r="B1863" s="8"/>
      <c r="C1863" s="8"/>
      <c r="D1863" s="8"/>
    </row>
    <row r="1864" spans="1:4" x14ac:dyDescent="0.25">
      <c r="A1864" s="8"/>
      <c r="B1864" s="8"/>
      <c r="C1864" s="8"/>
      <c r="D1864" s="8"/>
    </row>
    <row r="1865" spans="1:4" x14ac:dyDescent="0.25">
      <c r="A1865" s="8"/>
      <c r="B1865" s="8"/>
      <c r="C1865" s="8"/>
      <c r="D1865" s="8"/>
    </row>
    <row r="1866" spans="1:4" x14ac:dyDescent="0.25">
      <c r="A1866" s="8"/>
      <c r="B1866" s="8"/>
      <c r="C1866" s="8"/>
      <c r="D1866" s="8"/>
    </row>
    <row r="1867" spans="1:4" x14ac:dyDescent="0.25">
      <c r="A1867" s="8"/>
      <c r="B1867" s="8"/>
      <c r="C1867" s="8"/>
      <c r="D1867" s="8"/>
    </row>
    <row r="1868" spans="1:4" x14ac:dyDescent="0.25">
      <c r="A1868" s="8"/>
      <c r="B1868" s="8"/>
      <c r="C1868" s="8"/>
      <c r="D1868" s="8"/>
    </row>
    <row r="1869" spans="1:4" x14ac:dyDescent="0.25">
      <c r="A1869" s="8"/>
      <c r="B1869" s="8"/>
      <c r="C1869" s="8"/>
      <c r="D1869" s="8"/>
    </row>
    <row r="1870" spans="1:4" x14ac:dyDescent="0.25">
      <c r="A1870" s="8"/>
      <c r="B1870" s="8"/>
      <c r="C1870" s="8"/>
      <c r="D1870" s="8"/>
    </row>
    <row r="1871" spans="1:4" x14ac:dyDescent="0.25">
      <c r="A1871" s="8"/>
      <c r="B1871" s="8"/>
      <c r="C1871" s="8"/>
      <c r="D1871" s="8"/>
    </row>
    <row r="1872" spans="1:4" x14ac:dyDescent="0.25">
      <c r="A1872" s="8"/>
      <c r="B1872" s="8"/>
      <c r="C1872" s="8"/>
      <c r="D1872" s="8"/>
    </row>
    <row r="1873" spans="1:14" x14ac:dyDescent="0.25">
      <c r="A1873" s="8"/>
      <c r="B1873" s="8"/>
      <c r="C1873" s="8"/>
      <c r="D1873" s="8"/>
    </row>
    <row r="1874" spans="1:14" x14ac:dyDescent="0.25">
      <c r="A1874" s="8"/>
      <c r="B1874" s="8"/>
      <c r="C1874" s="8"/>
      <c r="D1874" s="8"/>
    </row>
    <row r="1875" spans="1:14" x14ac:dyDescent="0.25">
      <c r="A1875" s="8"/>
      <c r="B1875" s="8"/>
      <c r="C1875" s="8"/>
      <c r="D1875" s="8"/>
    </row>
    <row r="1876" spans="1:14" x14ac:dyDescent="0.25">
      <c r="A1876" s="8"/>
      <c r="B1876" s="8"/>
      <c r="C1876" s="8"/>
      <c r="D1876" s="8"/>
    </row>
    <row r="1877" spans="1:14" x14ac:dyDescent="0.25">
      <c r="A1877" s="8"/>
      <c r="B1877" s="8"/>
      <c r="C1877" s="8"/>
      <c r="D1877" s="8"/>
    </row>
    <row r="1878" spans="1:14" x14ac:dyDescent="0.25">
      <c r="A1878" s="8"/>
      <c r="B1878" s="8"/>
      <c r="C1878" s="8"/>
      <c r="D1878" s="8"/>
    </row>
    <row r="1879" spans="1:14" x14ac:dyDescent="0.25">
      <c r="A1879" s="8"/>
      <c r="B1879" s="8"/>
      <c r="C1879" s="8"/>
      <c r="D1879" s="8"/>
    </row>
    <row r="1880" spans="1:14" x14ac:dyDescent="0.25">
      <c r="A1880" s="8"/>
      <c r="B1880" s="8"/>
      <c r="C1880" s="8"/>
      <c r="D1880" s="8"/>
    </row>
    <row r="1881" spans="1:14" x14ac:dyDescent="0.25">
      <c r="A1881" s="8"/>
      <c r="B1881" s="8"/>
      <c r="C1881" s="8"/>
      <c r="D1881" s="8"/>
    </row>
    <row r="1882" spans="1:14" x14ac:dyDescent="0.25">
      <c r="A1882" s="8"/>
      <c r="B1882" s="8"/>
      <c r="C1882" s="8"/>
      <c r="D1882" s="8"/>
      <c r="G1882" s="79"/>
    </row>
    <row r="1883" spans="1:14" x14ac:dyDescent="0.25">
      <c r="A1883" s="8"/>
      <c r="B1883" s="8"/>
      <c r="C1883" s="8"/>
      <c r="D1883" s="8"/>
    </row>
    <row r="1884" spans="1:14" x14ac:dyDescent="0.25">
      <c r="A1884" s="8"/>
      <c r="B1884" s="8"/>
      <c r="C1884" s="8"/>
      <c r="D1884" s="8"/>
    </row>
    <row r="1885" spans="1:14" x14ac:dyDescent="0.25">
      <c r="A1885" s="8"/>
      <c r="B1885" s="8"/>
      <c r="C1885" s="8"/>
      <c r="D1885" s="8"/>
    </row>
    <row r="1886" spans="1:14" x14ac:dyDescent="0.25">
      <c r="A1886" s="8"/>
      <c r="B1886" s="8"/>
      <c r="C1886" s="8"/>
      <c r="D1886" s="8"/>
      <c r="M1886">
        <v>25</v>
      </c>
      <c r="N1886">
        <v>25</v>
      </c>
    </row>
    <row r="1887" spans="1:14" x14ac:dyDescent="0.25">
      <c r="A1887" s="8"/>
      <c r="B1887" s="8"/>
      <c r="C1887" s="8"/>
      <c r="D1887" s="8"/>
      <c r="M1887">
        <v>100</v>
      </c>
      <c r="N1887">
        <v>100</v>
      </c>
    </row>
    <row r="1888" spans="1:14" x14ac:dyDescent="0.25">
      <c r="A1888" s="8"/>
      <c r="B1888" s="8"/>
      <c r="C1888" s="8"/>
      <c r="D1888" s="8"/>
    </row>
    <row r="1889" spans="1:4" x14ac:dyDescent="0.25">
      <c r="A1889" s="8"/>
      <c r="B1889" s="8"/>
      <c r="C1889" s="8"/>
      <c r="D1889" s="8"/>
    </row>
    <row r="1890" spans="1:4" x14ac:dyDescent="0.25">
      <c r="A1890" s="8"/>
      <c r="B1890" s="8"/>
      <c r="C1890" s="8"/>
      <c r="D1890" s="8"/>
    </row>
    <row r="1891" spans="1:4" x14ac:dyDescent="0.25">
      <c r="A1891" s="8"/>
      <c r="B1891" s="8"/>
      <c r="C1891" s="8"/>
      <c r="D1891" s="8"/>
    </row>
    <row r="1892" spans="1:4" x14ac:dyDescent="0.25">
      <c r="A1892" s="8"/>
      <c r="B1892" s="8"/>
      <c r="C1892" s="8"/>
      <c r="D1892" s="8"/>
    </row>
    <row r="1893" spans="1:4" x14ac:dyDescent="0.25">
      <c r="A1893" s="8"/>
      <c r="B1893" s="8"/>
      <c r="C1893" s="8"/>
      <c r="D1893" s="8"/>
    </row>
    <row r="1894" spans="1:4" x14ac:dyDescent="0.25">
      <c r="A1894" s="8"/>
      <c r="B1894" s="8"/>
      <c r="C1894" s="8"/>
      <c r="D1894" s="8"/>
    </row>
    <row r="1895" spans="1:4" x14ac:dyDescent="0.25">
      <c r="A1895" s="8"/>
      <c r="B1895" s="8"/>
      <c r="C1895" s="8"/>
      <c r="D1895" s="8"/>
    </row>
    <row r="1896" spans="1:4" x14ac:dyDescent="0.25">
      <c r="A1896" s="8"/>
      <c r="B1896" s="8"/>
      <c r="C1896" s="8"/>
      <c r="D1896" s="8"/>
    </row>
    <row r="1897" spans="1:4" x14ac:dyDescent="0.25">
      <c r="A1897" s="8"/>
      <c r="B1897" s="8"/>
      <c r="C1897" s="8"/>
      <c r="D1897" s="8"/>
    </row>
    <row r="1898" spans="1:4" x14ac:dyDescent="0.25">
      <c r="A1898" s="8"/>
      <c r="B1898" s="8"/>
      <c r="C1898" s="8"/>
      <c r="D1898" s="8"/>
    </row>
    <row r="1899" spans="1:4" x14ac:dyDescent="0.25">
      <c r="A1899" s="8"/>
      <c r="B1899" s="8"/>
      <c r="C1899" s="8"/>
      <c r="D1899" s="8"/>
    </row>
    <row r="1900" spans="1:4" x14ac:dyDescent="0.25">
      <c r="A1900" s="8"/>
      <c r="B1900" s="8"/>
      <c r="C1900" s="8"/>
      <c r="D1900" s="8"/>
    </row>
    <row r="1901" spans="1:4" x14ac:dyDescent="0.25">
      <c r="A1901" s="8"/>
      <c r="B1901" s="8"/>
      <c r="C1901" s="8"/>
      <c r="D1901" s="8"/>
    </row>
    <row r="1902" spans="1:4" x14ac:dyDescent="0.25">
      <c r="A1902" s="8"/>
      <c r="B1902" s="8"/>
      <c r="C1902" s="8"/>
      <c r="D1902" s="8"/>
    </row>
    <row r="1903" spans="1:4" x14ac:dyDescent="0.25">
      <c r="A1903" s="8"/>
      <c r="B1903" s="8"/>
      <c r="C1903" s="8"/>
      <c r="D1903" s="8"/>
    </row>
    <row r="1904" spans="1:4" x14ac:dyDescent="0.25">
      <c r="A1904" s="8"/>
      <c r="B1904" s="8"/>
      <c r="C1904" s="8"/>
      <c r="D1904" s="8"/>
    </row>
    <row r="1905" spans="1:4" x14ac:dyDescent="0.25">
      <c r="A1905" s="8"/>
      <c r="B1905" s="8"/>
      <c r="C1905" s="8"/>
      <c r="D1905" s="8"/>
    </row>
    <row r="1906" spans="1:4" x14ac:dyDescent="0.25">
      <c r="A1906" s="8"/>
      <c r="B1906" s="8"/>
      <c r="C1906" s="8"/>
      <c r="D1906" s="8"/>
    </row>
    <row r="1907" spans="1:4" x14ac:dyDescent="0.25">
      <c r="A1907" s="8"/>
      <c r="B1907" s="8"/>
      <c r="C1907" s="8"/>
      <c r="D1907" s="8"/>
    </row>
    <row r="1908" spans="1:4" x14ac:dyDescent="0.25">
      <c r="A1908" s="8"/>
      <c r="B1908" s="8"/>
      <c r="C1908" s="8"/>
      <c r="D1908" s="8"/>
    </row>
    <row r="1909" spans="1:4" x14ac:dyDescent="0.25">
      <c r="A1909" s="8"/>
      <c r="B1909" s="8"/>
      <c r="C1909" s="8"/>
      <c r="D1909" s="8"/>
    </row>
    <row r="1910" spans="1:4" x14ac:dyDescent="0.25">
      <c r="A1910" s="8"/>
      <c r="B1910" s="8"/>
      <c r="C1910" s="8"/>
      <c r="D1910" s="8"/>
    </row>
    <row r="1911" spans="1:4" x14ac:dyDescent="0.25">
      <c r="A1911" s="8"/>
      <c r="B1911" s="8"/>
      <c r="C1911" s="8"/>
      <c r="D1911" s="8"/>
    </row>
    <row r="1912" spans="1:4" x14ac:dyDescent="0.25">
      <c r="A1912" s="8"/>
      <c r="B1912" s="8"/>
      <c r="C1912" s="8"/>
      <c r="D1912" s="8"/>
    </row>
    <row r="1913" spans="1:4" x14ac:dyDescent="0.25">
      <c r="A1913" s="8"/>
      <c r="B1913" s="8"/>
      <c r="C1913" s="8"/>
      <c r="D1913" s="8"/>
    </row>
    <row r="1914" spans="1:4" x14ac:dyDescent="0.25">
      <c r="A1914" s="8"/>
      <c r="B1914" s="8"/>
      <c r="C1914" s="8"/>
      <c r="D1914" s="8"/>
    </row>
    <row r="1915" spans="1:4" x14ac:dyDescent="0.25">
      <c r="A1915" s="8"/>
      <c r="B1915" s="8"/>
      <c r="C1915" s="8"/>
      <c r="D1915" s="8"/>
    </row>
    <row r="1916" spans="1:4" x14ac:dyDescent="0.25">
      <c r="A1916" s="8"/>
      <c r="B1916" s="8"/>
      <c r="C1916" s="8"/>
      <c r="D1916" s="8"/>
    </row>
    <row r="1917" spans="1:4" x14ac:dyDescent="0.25">
      <c r="A1917" s="8"/>
      <c r="B1917" s="8"/>
      <c r="C1917" s="8"/>
      <c r="D1917" s="8"/>
    </row>
    <row r="1918" spans="1:4" x14ac:dyDescent="0.25">
      <c r="A1918" s="8"/>
      <c r="B1918" s="8"/>
      <c r="C1918" s="8"/>
      <c r="D1918" s="8"/>
    </row>
    <row r="1919" spans="1:4" x14ac:dyDescent="0.25">
      <c r="A1919" s="8"/>
      <c r="B1919" s="8"/>
      <c r="C1919" s="8"/>
      <c r="D1919" s="8"/>
    </row>
    <row r="1920" spans="1:4" x14ac:dyDescent="0.25">
      <c r="A1920" s="8"/>
      <c r="B1920" s="8"/>
      <c r="C1920" s="8"/>
      <c r="D1920" s="8"/>
    </row>
    <row r="1921" spans="1:4" x14ac:dyDescent="0.25">
      <c r="A1921" s="8"/>
      <c r="B1921" s="8"/>
      <c r="C1921" s="8"/>
      <c r="D1921" s="8"/>
    </row>
    <row r="1922" spans="1:4" x14ac:dyDescent="0.25">
      <c r="A1922" s="8"/>
      <c r="B1922" s="8"/>
      <c r="C1922" s="8"/>
      <c r="D1922" s="8"/>
    </row>
    <row r="1923" spans="1:4" x14ac:dyDescent="0.25">
      <c r="A1923" s="8"/>
      <c r="B1923" s="8"/>
      <c r="C1923" s="8"/>
      <c r="D1923" s="8"/>
    </row>
    <row r="1924" spans="1:4" x14ac:dyDescent="0.25">
      <c r="A1924" s="8"/>
      <c r="B1924" s="8"/>
      <c r="C1924" s="8"/>
      <c r="D1924" s="8"/>
    </row>
    <row r="1925" spans="1:4" x14ac:dyDescent="0.25">
      <c r="A1925" s="8"/>
      <c r="B1925" s="8"/>
      <c r="C1925" s="8"/>
      <c r="D1925" s="8"/>
    </row>
    <row r="1926" spans="1:4" x14ac:dyDescent="0.25">
      <c r="A1926" s="8"/>
      <c r="B1926" s="8"/>
      <c r="C1926" s="8"/>
      <c r="D1926" s="8"/>
    </row>
    <row r="1927" spans="1:4" x14ac:dyDescent="0.25">
      <c r="A1927" s="8"/>
      <c r="B1927" s="8"/>
      <c r="C1927" s="8"/>
      <c r="D1927" s="8"/>
    </row>
    <row r="1928" spans="1:4" x14ac:dyDescent="0.25">
      <c r="A1928" s="8"/>
      <c r="B1928" s="8"/>
      <c r="C1928" s="8"/>
      <c r="D1928" s="8"/>
    </row>
    <row r="1929" spans="1:4" x14ac:dyDescent="0.25">
      <c r="A1929" s="8"/>
      <c r="B1929" s="8"/>
      <c r="C1929" s="8"/>
      <c r="D1929" s="8"/>
    </row>
    <row r="1930" spans="1:4" x14ac:dyDescent="0.25">
      <c r="A1930" s="8"/>
      <c r="B1930" s="8"/>
      <c r="C1930" s="8"/>
      <c r="D1930" s="8"/>
    </row>
    <row r="1931" spans="1:4" x14ac:dyDescent="0.25">
      <c r="A1931" s="8"/>
      <c r="B1931" s="8"/>
      <c r="C1931" s="8"/>
      <c r="D1931" s="8"/>
    </row>
    <row r="1932" spans="1:4" x14ac:dyDescent="0.25">
      <c r="A1932" s="8"/>
      <c r="B1932" s="8"/>
      <c r="C1932" s="8"/>
      <c r="D1932" s="8"/>
    </row>
    <row r="1933" spans="1:4" x14ac:dyDescent="0.25">
      <c r="A1933" s="8"/>
      <c r="B1933" s="8"/>
      <c r="C1933" s="8"/>
      <c r="D1933" s="8"/>
    </row>
    <row r="1934" spans="1:4" x14ac:dyDescent="0.25">
      <c r="A1934" s="8"/>
      <c r="B1934" s="8"/>
      <c r="C1934" s="8"/>
      <c r="D1934" s="8"/>
    </row>
    <row r="1935" spans="1:4" x14ac:dyDescent="0.25">
      <c r="A1935" s="8"/>
      <c r="B1935" s="8"/>
      <c r="C1935" s="8"/>
      <c r="D1935" s="8"/>
    </row>
    <row r="1936" spans="1:4" x14ac:dyDescent="0.25">
      <c r="A1936" s="8"/>
      <c r="B1936" s="8"/>
      <c r="C1936" s="8"/>
      <c r="D1936" s="8"/>
    </row>
    <row r="1937" spans="1:4" x14ac:dyDescent="0.25">
      <c r="A1937" s="8"/>
      <c r="B1937" s="8"/>
      <c r="C1937" s="8"/>
      <c r="D1937" s="8"/>
    </row>
    <row r="1938" spans="1:4" x14ac:dyDescent="0.25">
      <c r="A1938" s="8"/>
      <c r="B1938" s="8"/>
      <c r="C1938" s="8"/>
      <c r="D1938" s="8"/>
    </row>
    <row r="1939" spans="1:4" x14ac:dyDescent="0.25">
      <c r="A1939" s="8"/>
      <c r="B1939" s="8"/>
      <c r="C1939" s="8"/>
      <c r="D1939" s="8"/>
    </row>
    <row r="1940" spans="1:4" x14ac:dyDescent="0.25">
      <c r="A1940" s="8"/>
      <c r="B1940" s="8"/>
      <c r="C1940" s="8"/>
      <c r="D1940" s="8"/>
    </row>
    <row r="1941" spans="1:4" x14ac:dyDescent="0.25">
      <c r="A1941" s="8"/>
      <c r="B1941" s="8"/>
      <c r="C1941" s="8"/>
      <c r="D1941" s="8"/>
    </row>
    <row r="1942" spans="1:4" x14ac:dyDescent="0.25">
      <c r="A1942" s="8"/>
      <c r="B1942" s="8"/>
      <c r="C1942" s="8"/>
      <c r="D1942" s="8"/>
    </row>
    <row r="1943" spans="1:4" x14ac:dyDescent="0.25">
      <c r="A1943" s="8"/>
      <c r="B1943" s="8"/>
      <c r="C1943" s="8"/>
      <c r="D1943" s="8"/>
    </row>
    <row r="1944" spans="1:4" x14ac:dyDescent="0.25">
      <c r="A1944" s="8"/>
      <c r="B1944" s="8"/>
      <c r="C1944" s="8"/>
      <c r="D1944" s="8"/>
    </row>
    <row r="1945" spans="1:4" x14ac:dyDescent="0.25">
      <c r="A1945" s="8"/>
      <c r="B1945" s="8"/>
      <c r="C1945" s="8"/>
      <c r="D1945" s="8"/>
    </row>
    <row r="1946" spans="1:4" x14ac:dyDescent="0.25">
      <c r="A1946" s="8"/>
      <c r="B1946" s="8"/>
      <c r="C1946" s="8"/>
      <c r="D1946" s="8"/>
    </row>
    <row r="1947" spans="1:4" x14ac:dyDescent="0.25">
      <c r="A1947" s="8"/>
      <c r="B1947" s="8"/>
      <c r="C1947" s="8"/>
      <c r="D1947" s="8"/>
    </row>
    <row r="1948" spans="1:4" x14ac:dyDescent="0.25">
      <c r="A1948" s="8"/>
      <c r="B1948" s="8"/>
      <c r="C1948" s="8"/>
      <c r="D1948" s="8"/>
    </row>
    <row r="1949" spans="1:4" x14ac:dyDescent="0.25">
      <c r="A1949" s="8"/>
      <c r="B1949" s="8"/>
      <c r="C1949" s="8"/>
      <c r="D1949" s="8"/>
    </row>
    <row r="1950" spans="1:4" x14ac:dyDescent="0.25">
      <c r="A1950" s="8"/>
      <c r="B1950" s="8"/>
      <c r="C1950" s="8"/>
      <c r="D1950" s="8"/>
    </row>
    <row r="1951" spans="1:4" x14ac:dyDescent="0.25">
      <c r="A1951" s="8"/>
      <c r="B1951" s="8"/>
      <c r="C1951" s="8"/>
      <c r="D1951" s="8"/>
    </row>
    <row r="1952" spans="1:4" x14ac:dyDescent="0.25">
      <c r="A1952" s="8"/>
      <c r="B1952" s="8"/>
      <c r="C1952" s="8"/>
      <c r="D1952" s="8"/>
    </row>
    <row r="1953" spans="1:4" x14ac:dyDescent="0.25">
      <c r="A1953" s="8"/>
      <c r="B1953" s="8"/>
      <c r="C1953" s="8"/>
      <c r="D1953" s="8"/>
    </row>
    <row r="1954" spans="1:4" x14ac:dyDescent="0.25">
      <c r="A1954" s="8"/>
      <c r="B1954" s="8"/>
      <c r="C1954" s="8"/>
      <c r="D1954" s="8"/>
    </row>
    <row r="1955" spans="1:4" x14ac:dyDescent="0.25">
      <c r="A1955" s="8"/>
      <c r="B1955" s="8"/>
      <c r="C1955" s="8"/>
      <c r="D1955" s="8"/>
    </row>
    <row r="1956" spans="1:4" x14ac:dyDescent="0.25">
      <c r="A1956" s="8"/>
      <c r="B1956" s="8"/>
      <c r="C1956" s="8"/>
      <c r="D1956" s="8"/>
    </row>
    <row r="1957" spans="1:4" x14ac:dyDescent="0.25">
      <c r="A1957" s="8"/>
      <c r="B1957" s="8"/>
      <c r="C1957" s="8"/>
      <c r="D1957" s="8"/>
    </row>
    <row r="1958" spans="1:4" x14ac:dyDescent="0.25">
      <c r="A1958" s="8"/>
      <c r="B1958" s="8"/>
      <c r="C1958" s="8"/>
      <c r="D1958" s="8"/>
    </row>
    <row r="1959" spans="1:4" x14ac:dyDescent="0.25">
      <c r="A1959" s="8"/>
      <c r="B1959" s="8"/>
      <c r="C1959" s="8"/>
      <c r="D1959" s="8"/>
    </row>
    <row r="1960" spans="1:4" x14ac:dyDescent="0.25">
      <c r="A1960" s="8"/>
      <c r="B1960" s="8"/>
      <c r="C1960" s="8"/>
      <c r="D1960" s="8"/>
    </row>
    <row r="1961" spans="1:4" x14ac:dyDescent="0.25">
      <c r="A1961" s="8"/>
      <c r="B1961" s="8"/>
      <c r="C1961" s="8"/>
      <c r="D1961" s="8"/>
    </row>
    <row r="1962" spans="1:4" x14ac:dyDescent="0.25">
      <c r="A1962" s="8"/>
      <c r="B1962" s="8"/>
      <c r="C1962" s="8"/>
      <c r="D1962" s="8"/>
    </row>
    <row r="1963" spans="1:4" x14ac:dyDescent="0.25">
      <c r="A1963" s="8"/>
      <c r="B1963" s="8"/>
      <c r="C1963" s="8"/>
      <c r="D1963" s="8"/>
    </row>
    <row r="1964" spans="1:4" x14ac:dyDescent="0.25">
      <c r="A1964" s="8"/>
      <c r="B1964" s="8"/>
      <c r="C1964" s="8"/>
      <c r="D1964" s="8"/>
    </row>
    <row r="1965" spans="1:4" x14ac:dyDescent="0.25">
      <c r="A1965" s="8"/>
      <c r="B1965" s="8"/>
      <c r="C1965" s="8"/>
      <c r="D1965" s="8"/>
    </row>
    <row r="1966" spans="1:4" x14ac:dyDescent="0.25">
      <c r="A1966" s="8"/>
      <c r="B1966" s="8"/>
      <c r="C1966" s="8"/>
      <c r="D1966" s="8"/>
    </row>
    <row r="1967" spans="1:4" x14ac:dyDescent="0.25">
      <c r="A1967" s="8"/>
      <c r="B1967" s="8"/>
      <c r="C1967" s="8"/>
      <c r="D1967" s="8"/>
    </row>
    <row r="1968" spans="1:4" x14ac:dyDescent="0.25">
      <c r="A1968" s="8"/>
      <c r="B1968" s="8"/>
      <c r="C1968" s="8"/>
      <c r="D1968" s="8"/>
    </row>
    <row r="1969" spans="1:4" x14ac:dyDescent="0.25">
      <c r="A1969" s="8"/>
      <c r="B1969" s="8"/>
      <c r="C1969" s="8"/>
      <c r="D1969" s="8"/>
    </row>
    <row r="1970" spans="1:4" x14ac:dyDescent="0.25">
      <c r="A1970" s="8"/>
      <c r="B1970" s="8"/>
      <c r="C1970" s="8"/>
      <c r="D1970" s="8"/>
    </row>
    <row r="1971" spans="1:4" x14ac:dyDescent="0.25">
      <c r="A1971" s="8"/>
      <c r="B1971" s="8"/>
      <c r="C1971" s="8"/>
      <c r="D1971" s="8"/>
    </row>
    <row r="1972" spans="1:4" x14ac:dyDescent="0.25">
      <c r="A1972" s="8"/>
      <c r="B1972" s="8"/>
      <c r="C1972" s="8"/>
      <c r="D1972" s="8"/>
    </row>
    <row r="1973" spans="1:4" x14ac:dyDescent="0.25">
      <c r="A1973" s="8"/>
      <c r="B1973" s="8"/>
      <c r="C1973" s="8"/>
      <c r="D1973" s="8"/>
    </row>
    <row r="1974" spans="1:4" x14ac:dyDescent="0.25">
      <c r="A1974" s="8"/>
      <c r="B1974" s="8"/>
      <c r="C1974" s="8"/>
      <c r="D1974" s="8"/>
    </row>
    <row r="1975" spans="1:4" x14ac:dyDescent="0.25">
      <c r="A1975" s="8"/>
      <c r="B1975" s="8"/>
      <c r="C1975" s="8"/>
      <c r="D1975" s="8"/>
    </row>
    <row r="1976" spans="1:4" x14ac:dyDescent="0.25">
      <c r="A1976" s="8"/>
      <c r="B1976" s="8"/>
      <c r="C1976" s="8"/>
      <c r="D1976" s="8"/>
    </row>
    <row r="1977" spans="1:4" x14ac:dyDescent="0.25">
      <c r="A1977" s="8"/>
      <c r="B1977" s="8"/>
      <c r="C1977" s="8"/>
      <c r="D1977" s="8"/>
    </row>
    <row r="1978" spans="1:4" x14ac:dyDescent="0.25">
      <c r="A1978" s="8"/>
      <c r="B1978" s="8"/>
      <c r="C1978" s="8"/>
      <c r="D1978" s="8"/>
    </row>
    <row r="1979" spans="1:4" x14ac:dyDescent="0.25">
      <c r="A1979" s="8"/>
      <c r="B1979" s="8"/>
      <c r="C1979" s="8"/>
      <c r="D1979" s="8"/>
    </row>
    <row r="1980" spans="1:4" x14ac:dyDescent="0.25">
      <c r="A1980" s="8"/>
      <c r="B1980" s="8"/>
      <c r="C1980" s="8"/>
      <c r="D1980" s="8"/>
    </row>
    <row r="1981" spans="1:4" x14ac:dyDescent="0.25">
      <c r="A1981" s="8"/>
      <c r="B1981" s="8"/>
      <c r="C1981" s="8"/>
      <c r="D1981" s="8"/>
    </row>
    <row r="1982" spans="1:4" x14ac:dyDescent="0.25">
      <c r="A1982" s="8"/>
      <c r="B1982" s="8"/>
      <c r="C1982" s="8"/>
      <c r="D1982" s="8"/>
    </row>
    <row r="1983" spans="1:4" x14ac:dyDescent="0.25">
      <c r="A1983" s="8"/>
      <c r="B1983" s="8"/>
      <c r="C1983" s="8"/>
      <c r="D1983" s="8"/>
    </row>
    <row r="1984" spans="1:4" x14ac:dyDescent="0.25">
      <c r="A1984" s="8"/>
      <c r="B1984" s="8"/>
      <c r="C1984" s="8"/>
      <c r="D1984" s="8"/>
    </row>
    <row r="1985" spans="1:14" x14ac:dyDescent="0.25">
      <c r="A1985" s="8"/>
      <c r="B1985" s="8"/>
      <c r="C1985" s="8"/>
      <c r="D1985" s="8"/>
    </row>
    <row r="1986" spans="1:14" x14ac:dyDescent="0.25">
      <c r="A1986" s="8"/>
      <c r="B1986" s="8"/>
      <c r="C1986" s="8"/>
      <c r="D1986" s="8"/>
    </row>
    <row r="1987" spans="1:14" x14ac:dyDescent="0.25">
      <c r="A1987" s="8"/>
      <c r="B1987" s="8"/>
      <c r="C1987" s="8"/>
      <c r="D1987" s="8"/>
      <c r="M1987">
        <v>250</v>
      </c>
      <c r="N1987">
        <v>250</v>
      </c>
    </row>
    <row r="1988" spans="1:14" x14ac:dyDescent="0.25">
      <c r="A1988" s="8"/>
      <c r="B1988" s="8"/>
      <c r="C1988" s="8"/>
      <c r="D1988" s="8"/>
      <c r="M1988">
        <v>250</v>
      </c>
      <c r="N1988">
        <v>250</v>
      </c>
    </row>
    <row r="1989" spans="1:14" x14ac:dyDescent="0.25">
      <c r="A1989" s="8"/>
      <c r="B1989" s="8"/>
      <c r="C1989" s="8"/>
      <c r="D1989" s="8"/>
      <c r="M1989">
        <v>5</v>
      </c>
      <c r="N1989">
        <v>5</v>
      </c>
    </row>
    <row r="1990" spans="1:14" x14ac:dyDescent="0.25">
      <c r="A1990" s="8"/>
      <c r="B1990" s="8"/>
      <c r="C1990" s="8"/>
      <c r="D1990" s="8"/>
      <c r="M1990">
        <v>5</v>
      </c>
      <c r="N1990">
        <v>5</v>
      </c>
    </row>
    <row r="1991" spans="1:14" x14ac:dyDescent="0.25">
      <c r="A1991" s="8"/>
      <c r="B1991" s="8"/>
      <c r="C1991" s="8"/>
      <c r="D1991" s="8"/>
      <c r="M1991">
        <v>5</v>
      </c>
      <c r="N1991">
        <v>5</v>
      </c>
    </row>
    <row r="1992" spans="1:14" x14ac:dyDescent="0.25">
      <c r="A1992" s="8"/>
      <c r="B1992" s="8"/>
      <c r="C1992" s="8"/>
      <c r="D1992" s="8"/>
      <c r="M1992">
        <v>5</v>
      </c>
      <c r="N1992">
        <v>5</v>
      </c>
    </row>
    <row r="1993" spans="1:14" x14ac:dyDescent="0.25">
      <c r="A1993" s="8"/>
      <c r="B1993" s="8"/>
      <c r="C1993" s="8"/>
      <c r="D1993" s="8"/>
      <c r="M1993">
        <v>5</v>
      </c>
      <c r="N1993">
        <v>5</v>
      </c>
    </row>
    <row r="1994" spans="1:14" x14ac:dyDescent="0.25">
      <c r="A1994" s="8"/>
      <c r="B1994" s="8"/>
      <c r="C1994" s="8"/>
      <c r="D1994" s="8"/>
      <c r="M1994">
        <v>5</v>
      </c>
      <c r="N1994">
        <v>5</v>
      </c>
    </row>
    <row r="1995" spans="1:14" x14ac:dyDescent="0.25">
      <c r="A1995" s="8"/>
      <c r="B1995" s="8"/>
      <c r="C1995" s="8"/>
      <c r="D1995" s="8"/>
      <c r="M1995">
        <v>5</v>
      </c>
      <c r="N1995">
        <v>5</v>
      </c>
    </row>
    <row r="1996" spans="1:14" x14ac:dyDescent="0.25">
      <c r="A1996" s="8"/>
      <c r="B1996" s="8"/>
      <c r="C1996" s="8"/>
      <c r="D1996" s="8"/>
      <c r="M1996">
        <v>5</v>
      </c>
      <c r="N1996">
        <v>5</v>
      </c>
    </row>
    <row r="1997" spans="1:14" x14ac:dyDescent="0.25">
      <c r="A1997" s="8"/>
      <c r="B1997" s="8"/>
      <c r="C1997" s="8"/>
      <c r="D1997" s="8"/>
      <c r="M1997">
        <v>5</v>
      </c>
      <c r="N1997">
        <v>5</v>
      </c>
    </row>
    <row r="1998" spans="1:14" x14ac:dyDescent="0.25">
      <c r="A1998" s="8"/>
      <c r="B1998" s="8"/>
      <c r="C1998" s="8"/>
      <c r="D1998" s="8"/>
      <c r="M1998">
        <v>5</v>
      </c>
      <c r="N1998">
        <v>5</v>
      </c>
    </row>
    <row r="1999" spans="1:14" x14ac:dyDescent="0.25">
      <c r="A1999" s="8"/>
      <c r="B1999" s="8"/>
      <c r="C1999" s="8"/>
      <c r="D1999" s="8"/>
      <c r="M1999">
        <v>5</v>
      </c>
      <c r="N1999">
        <v>5</v>
      </c>
    </row>
    <row r="2000" spans="1:14" x14ac:dyDescent="0.25">
      <c r="A2000" s="8"/>
      <c r="B2000" s="8"/>
      <c r="C2000" s="8"/>
      <c r="D2000" s="8"/>
      <c r="M2000">
        <v>5</v>
      </c>
      <c r="N2000">
        <v>5</v>
      </c>
    </row>
    <row r="2001" spans="1:14" x14ac:dyDescent="0.25">
      <c r="A2001" s="8"/>
      <c r="B2001" s="8"/>
      <c r="C2001" s="8"/>
      <c r="D2001" s="8"/>
      <c r="M2001">
        <v>55</v>
      </c>
      <c r="N2001">
        <v>55</v>
      </c>
    </row>
    <row r="2002" spans="1:14" x14ac:dyDescent="0.25">
      <c r="A2002" s="8"/>
      <c r="B2002" s="8"/>
      <c r="C2002" s="8"/>
      <c r="D2002" s="8"/>
      <c r="M2002">
        <v>5</v>
      </c>
      <c r="N2002">
        <v>5</v>
      </c>
    </row>
    <row r="2003" spans="1:14" x14ac:dyDescent="0.25">
      <c r="A2003" s="8"/>
      <c r="B2003" s="8"/>
      <c r="C2003" s="8"/>
      <c r="D2003" s="8"/>
      <c r="M2003">
        <v>800</v>
      </c>
      <c r="N2003">
        <v>800</v>
      </c>
    </row>
    <row r="2004" spans="1:14" x14ac:dyDescent="0.25">
      <c r="A2004" s="8"/>
      <c r="B2004" s="8"/>
      <c r="C2004" s="8"/>
      <c r="D2004" s="8"/>
      <c r="M2004">
        <v>200</v>
      </c>
      <c r="N2004">
        <v>200</v>
      </c>
    </row>
    <row r="2005" spans="1:14" x14ac:dyDescent="0.25">
      <c r="A2005" s="8"/>
      <c r="B2005" s="8"/>
      <c r="C2005" s="8"/>
      <c r="D2005" s="8"/>
      <c r="M2005">
        <v>315</v>
      </c>
      <c r="N2005">
        <v>315</v>
      </c>
    </row>
    <row r="2006" spans="1:14" x14ac:dyDescent="0.25">
      <c r="A2006" s="8"/>
      <c r="B2006" s="8"/>
      <c r="C2006" s="8"/>
      <c r="D2006" s="8"/>
      <c r="M2006">
        <v>500</v>
      </c>
      <c r="N2006">
        <v>500</v>
      </c>
    </row>
    <row r="2007" spans="1:14" x14ac:dyDescent="0.25">
      <c r="A2007" s="8"/>
      <c r="B2007" s="8"/>
      <c r="C2007" s="8"/>
      <c r="D2007" s="8"/>
      <c r="M2007">
        <v>500</v>
      </c>
      <c r="N2007">
        <v>500</v>
      </c>
    </row>
    <row r="2008" spans="1:14" x14ac:dyDescent="0.25">
      <c r="A2008" s="8"/>
      <c r="B2008" s="8"/>
      <c r="C2008" s="8"/>
      <c r="D2008" s="8"/>
      <c r="M2008">
        <v>250</v>
      </c>
      <c r="N2008">
        <v>250</v>
      </c>
    </row>
    <row r="2009" spans="1:14" x14ac:dyDescent="0.25">
      <c r="A2009" s="8"/>
      <c r="B2009" s="8"/>
      <c r="C2009" s="8"/>
      <c r="D2009" s="8"/>
      <c r="M2009">
        <v>250</v>
      </c>
      <c r="N2009">
        <v>250</v>
      </c>
    </row>
    <row r="2010" spans="1:14" x14ac:dyDescent="0.25">
      <c r="A2010" s="8"/>
      <c r="B2010" s="8"/>
      <c r="C2010" s="8"/>
      <c r="D2010" s="8"/>
      <c r="M2010">
        <v>1000</v>
      </c>
      <c r="N2010">
        <v>1000</v>
      </c>
    </row>
    <row r="2011" spans="1:14" x14ac:dyDescent="0.25">
      <c r="A2011" s="8"/>
      <c r="B2011" s="8"/>
      <c r="C2011" s="8"/>
      <c r="D2011" s="8"/>
      <c r="M2011">
        <v>250</v>
      </c>
      <c r="N2011">
        <v>250</v>
      </c>
    </row>
    <row r="2012" spans="1:14" x14ac:dyDescent="0.25">
      <c r="A2012" s="8"/>
      <c r="B2012" s="8"/>
      <c r="C2012" s="8"/>
      <c r="D2012" s="8"/>
      <c r="M2012">
        <v>250</v>
      </c>
      <c r="N2012">
        <v>250</v>
      </c>
    </row>
    <row r="2013" spans="1:14" x14ac:dyDescent="0.25">
      <c r="A2013" s="8"/>
      <c r="B2013" s="8"/>
      <c r="C2013" s="8"/>
      <c r="D2013" s="8"/>
      <c r="M2013">
        <v>125</v>
      </c>
      <c r="N2013">
        <v>125</v>
      </c>
    </row>
    <row r="2014" spans="1:14" x14ac:dyDescent="0.25">
      <c r="A2014" s="8"/>
      <c r="B2014" s="8"/>
      <c r="C2014" s="8"/>
      <c r="D2014" s="8"/>
      <c r="M2014">
        <v>5</v>
      </c>
      <c r="N2014">
        <v>5</v>
      </c>
    </row>
    <row r="2015" spans="1:14" x14ac:dyDescent="0.25">
      <c r="A2015" s="8"/>
      <c r="B2015" s="8"/>
      <c r="C2015" s="8"/>
      <c r="D2015" s="8"/>
      <c r="M2015">
        <v>5</v>
      </c>
      <c r="N2015">
        <v>5</v>
      </c>
    </row>
    <row r="2016" spans="1:14" x14ac:dyDescent="0.25">
      <c r="A2016" s="8"/>
      <c r="B2016" s="8"/>
      <c r="C2016" s="8"/>
      <c r="D2016" s="8"/>
      <c r="M2016">
        <v>5</v>
      </c>
      <c r="N2016">
        <v>5</v>
      </c>
    </row>
    <row r="2017" spans="1:14" x14ac:dyDescent="0.25">
      <c r="A2017" s="8"/>
      <c r="B2017" s="8"/>
      <c r="C2017" s="8"/>
      <c r="D2017" s="8"/>
      <c r="M2017">
        <v>5</v>
      </c>
      <c r="N2017">
        <v>5</v>
      </c>
    </row>
    <row r="2018" spans="1:14" x14ac:dyDescent="0.25">
      <c r="A2018" s="8"/>
      <c r="B2018" s="8"/>
      <c r="C2018" s="8"/>
      <c r="D2018" s="8"/>
      <c r="M2018">
        <v>500</v>
      </c>
      <c r="N2018">
        <v>500</v>
      </c>
    </row>
    <row r="2019" spans="1:14" x14ac:dyDescent="0.25">
      <c r="A2019" s="8"/>
      <c r="B2019" s="8"/>
      <c r="C2019" s="8"/>
      <c r="D2019" s="8"/>
      <c r="M2019">
        <v>250</v>
      </c>
      <c r="N2019">
        <v>250</v>
      </c>
    </row>
    <row r="2020" spans="1:14" x14ac:dyDescent="0.25">
      <c r="A2020" s="8"/>
      <c r="B2020" s="8"/>
      <c r="C2020" s="8"/>
      <c r="D2020" s="8"/>
      <c r="M2020">
        <v>5</v>
      </c>
      <c r="N2020">
        <v>5</v>
      </c>
    </row>
    <row r="2021" spans="1:14" x14ac:dyDescent="0.25">
      <c r="A2021" s="8"/>
      <c r="B2021" s="8"/>
      <c r="C2021" s="8"/>
      <c r="D2021" s="8"/>
      <c r="M2021">
        <v>500</v>
      </c>
      <c r="N2021">
        <v>500</v>
      </c>
    </row>
    <row r="2022" spans="1:14" x14ac:dyDescent="0.25">
      <c r="A2022" s="8"/>
      <c r="B2022" s="8"/>
      <c r="C2022" s="8"/>
      <c r="D2022" s="8"/>
      <c r="M2022">
        <v>500</v>
      </c>
      <c r="N2022">
        <v>500</v>
      </c>
    </row>
    <row r="2023" spans="1:14" x14ac:dyDescent="0.25">
      <c r="A2023" s="8"/>
      <c r="B2023" s="8"/>
      <c r="C2023" s="8"/>
      <c r="D2023" s="8"/>
      <c r="M2023">
        <v>500</v>
      </c>
      <c r="N2023">
        <v>500</v>
      </c>
    </row>
    <row r="2024" spans="1:14" x14ac:dyDescent="0.25">
      <c r="A2024" s="8"/>
      <c r="B2024" s="8"/>
      <c r="C2024" s="8"/>
      <c r="D2024" s="8"/>
      <c r="M2024">
        <v>500</v>
      </c>
      <c r="N2024">
        <v>500</v>
      </c>
    </row>
    <row r="2025" spans="1:14" x14ac:dyDescent="0.25">
      <c r="A2025" s="8"/>
      <c r="B2025" s="8"/>
      <c r="C2025" s="8"/>
      <c r="D2025" s="8"/>
      <c r="M2025">
        <v>500</v>
      </c>
      <c r="N2025">
        <v>500</v>
      </c>
    </row>
    <row r="2026" spans="1:14" x14ac:dyDescent="0.25">
      <c r="A2026" s="8"/>
      <c r="B2026" s="8"/>
      <c r="C2026" s="8"/>
      <c r="D2026" s="8"/>
      <c r="M2026">
        <v>500</v>
      </c>
      <c r="N2026">
        <v>500</v>
      </c>
    </row>
    <row r="2027" spans="1:14" x14ac:dyDescent="0.25">
      <c r="A2027" s="8"/>
      <c r="B2027" s="8"/>
      <c r="C2027" s="8"/>
      <c r="D2027" s="8"/>
      <c r="M2027">
        <v>500</v>
      </c>
      <c r="N2027">
        <v>500</v>
      </c>
    </row>
    <row r="2028" spans="1:14" x14ac:dyDescent="0.25">
      <c r="A2028" s="8"/>
      <c r="B2028" s="8"/>
      <c r="C2028" s="8"/>
      <c r="D2028" s="8"/>
      <c r="M2028">
        <v>500</v>
      </c>
      <c r="N2028">
        <v>500</v>
      </c>
    </row>
    <row r="2029" spans="1:14" x14ac:dyDescent="0.25">
      <c r="A2029" s="8"/>
      <c r="B2029" s="8"/>
      <c r="C2029" s="8"/>
      <c r="D2029" s="8"/>
      <c r="M2029">
        <v>500</v>
      </c>
      <c r="N2029">
        <v>500</v>
      </c>
    </row>
    <row r="2030" spans="1:14" x14ac:dyDescent="0.25">
      <c r="A2030" s="8"/>
      <c r="B2030" s="8"/>
      <c r="C2030" s="8"/>
      <c r="D2030" s="8"/>
      <c r="M2030">
        <v>500</v>
      </c>
      <c r="N2030">
        <v>500</v>
      </c>
    </row>
    <row r="2031" spans="1:14" x14ac:dyDescent="0.25">
      <c r="A2031" s="8"/>
      <c r="B2031" s="8"/>
      <c r="C2031" s="8"/>
      <c r="D2031" s="8"/>
      <c r="M2031">
        <v>500</v>
      </c>
      <c r="N2031">
        <v>500</v>
      </c>
    </row>
    <row r="2032" spans="1:14" x14ac:dyDescent="0.25">
      <c r="A2032" s="8"/>
      <c r="B2032" s="8"/>
      <c r="C2032" s="8"/>
      <c r="D2032" s="8"/>
      <c r="M2032">
        <v>500</v>
      </c>
      <c r="N2032">
        <v>500</v>
      </c>
    </row>
    <row r="2033" spans="1:14" x14ac:dyDescent="0.25">
      <c r="A2033" s="8"/>
      <c r="B2033" s="8"/>
      <c r="C2033" s="8"/>
      <c r="D2033" s="8"/>
      <c r="M2033">
        <v>500</v>
      </c>
      <c r="N2033">
        <v>500</v>
      </c>
    </row>
    <row r="2034" spans="1:14" x14ac:dyDescent="0.25">
      <c r="A2034" s="8"/>
      <c r="B2034" s="8"/>
      <c r="C2034" s="8"/>
      <c r="D2034" s="8"/>
      <c r="M2034">
        <v>500</v>
      </c>
      <c r="N2034">
        <v>500</v>
      </c>
    </row>
    <row r="2035" spans="1:14" x14ac:dyDescent="0.25">
      <c r="A2035" s="8"/>
      <c r="B2035" s="8"/>
      <c r="C2035" s="8"/>
      <c r="D2035" s="8"/>
      <c r="M2035">
        <v>500</v>
      </c>
      <c r="N2035">
        <v>500</v>
      </c>
    </row>
    <row r="2036" spans="1:14" x14ac:dyDescent="0.25">
      <c r="A2036" s="8"/>
      <c r="B2036" s="8"/>
      <c r="C2036" s="8"/>
      <c r="D2036" s="8"/>
      <c r="M2036">
        <v>500</v>
      </c>
      <c r="N2036">
        <v>500</v>
      </c>
    </row>
    <row r="2037" spans="1:14" x14ac:dyDescent="0.25">
      <c r="A2037" s="8"/>
      <c r="B2037" s="8"/>
      <c r="C2037" s="8"/>
      <c r="D2037" s="8"/>
      <c r="M2037">
        <v>5</v>
      </c>
      <c r="N2037">
        <v>5</v>
      </c>
    </row>
    <row r="2038" spans="1:14" x14ac:dyDescent="0.25">
      <c r="A2038" s="8"/>
      <c r="B2038" s="8"/>
      <c r="C2038" s="8"/>
      <c r="D2038" s="8"/>
      <c r="M2038">
        <v>5</v>
      </c>
      <c r="N2038">
        <v>5</v>
      </c>
    </row>
    <row r="2039" spans="1:14" x14ac:dyDescent="0.25">
      <c r="A2039" s="8"/>
      <c r="B2039" s="8"/>
      <c r="C2039" s="8"/>
      <c r="D2039" s="8"/>
      <c r="M2039">
        <v>5</v>
      </c>
      <c r="N2039">
        <v>5</v>
      </c>
    </row>
    <row r="2040" spans="1:14" x14ac:dyDescent="0.25">
      <c r="A2040" s="8"/>
      <c r="B2040" s="8"/>
      <c r="C2040" s="8"/>
      <c r="D2040" s="8"/>
      <c r="M2040">
        <v>5</v>
      </c>
      <c r="N2040">
        <v>5</v>
      </c>
    </row>
    <row r="2041" spans="1:14" x14ac:dyDescent="0.25">
      <c r="A2041" s="8"/>
      <c r="B2041" s="8"/>
      <c r="C2041" s="8"/>
      <c r="D2041" s="8"/>
      <c r="M2041">
        <v>5</v>
      </c>
      <c r="N2041">
        <v>5</v>
      </c>
    </row>
    <row r="2042" spans="1:14" x14ac:dyDescent="0.25">
      <c r="A2042" s="8"/>
      <c r="B2042" s="8"/>
      <c r="C2042" s="8"/>
      <c r="D2042" s="8"/>
      <c r="M2042">
        <v>5</v>
      </c>
      <c r="N2042">
        <v>5</v>
      </c>
    </row>
    <row r="2043" spans="1:14" x14ac:dyDescent="0.25">
      <c r="A2043" s="8"/>
      <c r="B2043" s="8"/>
      <c r="C2043" s="8"/>
      <c r="D2043" s="8"/>
      <c r="M2043">
        <v>5</v>
      </c>
      <c r="N2043">
        <v>5</v>
      </c>
    </row>
    <row r="2044" spans="1:14" x14ac:dyDescent="0.25">
      <c r="A2044" s="8"/>
      <c r="B2044" s="8"/>
      <c r="C2044" s="8"/>
      <c r="D2044" s="8"/>
      <c r="M2044">
        <v>5</v>
      </c>
      <c r="N2044">
        <v>5</v>
      </c>
    </row>
    <row r="2045" spans="1:14" x14ac:dyDescent="0.25">
      <c r="A2045" s="8"/>
      <c r="B2045" s="8"/>
      <c r="C2045" s="8"/>
      <c r="D2045" s="8"/>
      <c r="M2045">
        <v>5</v>
      </c>
      <c r="N2045">
        <v>5</v>
      </c>
    </row>
    <row r="2046" spans="1:14" x14ac:dyDescent="0.25">
      <c r="A2046" s="8"/>
      <c r="B2046" s="8"/>
      <c r="C2046" s="8"/>
      <c r="D2046" s="8"/>
      <c r="M2046">
        <v>5</v>
      </c>
      <c r="N2046">
        <v>5</v>
      </c>
    </row>
    <row r="2047" spans="1:14" x14ac:dyDescent="0.25">
      <c r="A2047" s="8"/>
      <c r="B2047" s="8"/>
      <c r="C2047" s="8"/>
      <c r="D2047" s="8"/>
      <c r="M2047">
        <v>5</v>
      </c>
      <c r="N2047">
        <v>5</v>
      </c>
    </row>
    <row r="2048" spans="1:14" x14ac:dyDescent="0.25">
      <c r="A2048" s="8"/>
      <c r="B2048" s="8"/>
      <c r="C2048" s="8"/>
      <c r="D2048" s="8"/>
      <c r="M2048">
        <v>5</v>
      </c>
      <c r="N2048">
        <v>5</v>
      </c>
    </row>
    <row r="2049" spans="1:14" x14ac:dyDescent="0.25">
      <c r="A2049" s="8"/>
      <c r="B2049" s="8"/>
      <c r="C2049" s="8"/>
      <c r="D2049" s="8"/>
      <c r="M2049">
        <v>5</v>
      </c>
      <c r="N2049">
        <v>5</v>
      </c>
    </row>
    <row r="2050" spans="1:14" x14ac:dyDescent="0.25">
      <c r="A2050" s="8"/>
      <c r="B2050" s="8"/>
      <c r="C2050" s="8"/>
      <c r="D2050" s="8"/>
      <c r="M2050">
        <v>5</v>
      </c>
      <c r="N2050">
        <v>5</v>
      </c>
    </row>
    <row r="2051" spans="1:14" x14ac:dyDescent="0.25">
      <c r="A2051" s="8"/>
      <c r="B2051" s="8"/>
      <c r="C2051" s="8"/>
      <c r="D2051" s="8"/>
      <c r="M2051">
        <v>500</v>
      </c>
      <c r="N2051">
        <v>500</v>
      </c>
    </row>
    <row r="2052" spans="1:14" x14ac:dyDescent="0.25">
      <c r="A2052" s="8"/>
      <c r="B2052" s="8"/>
      <c r="C2052" s="8"/>
      <c r="D2052" s="8"/>
      <c r="M2052">
        <v>500</v>
      </c>
      <c r="N2052">
        <v>500</v>
      </c>
    </row>
    <row r="2053" spans="1:14" x14ac:dyDescent="0.25">
      <c r="A2053" s="8"/>
      <c r="B2053" s="8"/>
      <c r="C2053" s="8"/>
      <c r="D2053" s="8"/>
      <c r="M2053">
        <v>500</v>
      </c>
      <c r="N2053">
        <v>500</v>
      </c>
    </row>
    <row r="2054" spans="1:14" x14ac:dyDescent="0.25">
      <c r="A2054" s="8"/>
      <c r="B2054" s="8"/>
      <c r="C2054" s="8"/>
      <c r="D2054" s="8"/>
      <c r="M2054">
        <v>500</v>
      </c>
      <c r="N2054">
        <v>500</v>
      </c>
    </row>
    <row r="2055" spans="1:14" x14ac:dyDescent="0.25">
      <c r="A2055" s="8"/>
      <c r="B2055" s="8"/>
      <c r="C2055" s="8"/>
      <c r="D2055" s="8"/>
      <c r="M2055">
        <v>250</v>
      </c>
      <c r="N2055">
        <v>250</v>
      </c>
    </row>
    <row r="2056" spans="1:14" x14ac:dyDescent="0.25">
      <c r="A2056" s="8"/>
      <c r="B2056" s="8"/>
      <c r="C2056" s="8"/>
      <c r="D2056" s="8"/>
      <c r="M2056">
        <v>250</v>
      </c>
      <c r="N2056">
        <v>250</v>
      </c>
    </row>
    <row r="2057" spans="1:14" x14ac:dyDescent="0.25">
      <c r="A2057" s="8"/>
      <c r="B2057" s="8"/>
      <c r="C2057" s="8"/>
      <c r="D2057" s="8"/>
      <c r="M2057">
        <v>250</v>
      </c>
      <c r="N2057">
        <v>250</v>
      </c>
    </row>
    <row r="2058" spans="1:14" x14ac:dyDescent="0.25">
      <c r="A2058" s="8"/>
      <c r="B2058" s="8"/>
      <c r="C2058" s="8"/>
      <c r="D2058" s="8"/>
    </row>
    <row r="2059" spans="1:14" x14ac:dyDescent="0.25">
      <c r="A2059" s="8"/>
      <c r="B2059" s="8"/>
      <c r="C2059" s="8"/>
      <c r="D2059" s="8"/>
    </row>
    <row r="2060" spans="1:14" x14ac:dyDescent="0.25">
      <c r="A2060" s="8"/>
      <c r="B2060" s="8"/>
      <c r="C2060" s="8"/>
      <c r="D2060" s="8"/>
    </row>
    <row r="2061" spans="1:14" x14ac:dyDescent="0.25">
      <c r="A2061" s="8"/>
      <c r="B2061" s="8"/>
      <c r="C2061" s="8"/>
      <c r="D2061" s="8"/>
    </row>
    <row r="2062" spans="1:14" x14ac:dyDescent="0.25">
      <c r="A2062" s="8"/>
      <c r="B2062" s="8"/>
      <c r="C2062" s="8"/>
      <c r="D2062" s="8"/>
    </row>
    <row r="2063" spans="1:14" x14ac:dyDescent="0.25">
      <c r="A2063" s="8"/>
      <c r="B2063" s="8"/>
      <c r="C2063" s="8"/>
      <c r="D2063" s="8"/>
    </row>
    <row r="2064" spans="1:14" x14ac:dyDescent="0.25">
      <c r="A2064" s="8"/>
      <c r="B2064" s="8"/>
      <c r="C2064" s="8"/>
      <c r="D2064" s="8"/>
    </row>
    <row r="2065" spans="1:4" x14ac:dyDescent="0.25">
      <c r="A2065" s="8"/>
      <c r="B2065" s="8"/>
      <c r="C2065" s="8"/>
      <c r="D2065" s="8"/>
    </row>
    <row r="2066" spans="1:4" x14ac:dyDescent="0.25">
      <c r="A2066" s="8"/>
      <c r="B2066" s="8"/>
      <c r="C2066" s="8"/>
      <c r="D2066" s="8"/>
    </row>
    <row r="2067" spans="1:4" x14ac:dyDescent="0.25">
      <c r="A2067" s="8"/>
      <c r="B2067" s="8"/>
      <c r="C2067" s="8"/>
      <c r="D2067" s="8"/>
    </row>
    <row r="2068" spans="1:4" x14ac:dyDescent="0.25">
      <c r="A2068" s="8"/>
      <c r="B2068" s="8"/>
      <c r="C2068" s="8"/>
      <c r="D2068" s="8"/>
    </row>
    <row r="2069" spans="1:4" x14ac:dyDescent="0.25">
      <c r="A2069" s="8"/>
      <c r="B2069" s="8"/>
      <c r="C2069" s="8"/>
      <c r="D2069" s="8"/>
    </row>
    <row r="2070" spans="1:4" x14ac:dyDescent="0.25">
      <c r="A2070" s="8"/>
      <c r="B2070" s="8"/>
      <c r="C2070" s="8"/>
      <c r="D2070" s="8"/>
    </row>
    <row r="2071" spans="1:4" x14ac:dyDescent="0.25">
      <c r="A2071" s="8"/>
      <c r="B2071" s="8"/>
      <c r="C2071" s="8"/>
      <c r="D2071" s="8"/>
    </row>
    <row r="2072" spans="1:4" x14ac:dyDescent="0.25">
      <c r="A2072" s="8"/>
      <c r="B2072" s="8"/>
      <c r="C2072" s="8"/>
      <c r="D2072" s="8"/>
    </row>
    <row r="2073" spans="1:4" x14ac:dyDescent="0.25">
      <c r="A2073" s="8"/>
      <c r="B2073" s="8"/>
      <c r="C2073" s="8"/>
      <c r="D2073" s="8"/>
    </row>
    <row r="2074" spans="1:4" x14ac:dyDescent="0.25">
      <c r="A2074" s="8"/>
      <c r="B2074" s="8"/>
      <c r="C2074" s="8"/>
      <c r="D2074" s="8"/>
    </row>
    <row r="2075" spans="1:4" x14ac:dyDescent="0.25">
      <c r="A2075" s="8"/>
      <c r="B2075" s="8"/>
      <c r="C2075" s="8"/>
      <c r="D2075" s="8"/>
    </row>
    <row r="2076" spans="1:4" x14ac:dyDescent="0.25">
      <c r="A2076" s="8"/>
      <c r="B2076" s="8"/>
      <c r="C2076" s="8"/>
      <c r="D2076" s="8"/>
    </row>
    <row r="2077" spans="1:4" x14ac:dyDescent="0.25">
      <c r="A2077" s="8"/>
      <c r="B2077" s="8"/>
      <c r="C2077" s="8"/>
      <c r="D2077" s="8"/>
    </row>
    <row r="2078" spans="1:4" x14ac:dyDescent="0.25">
      <c r="A2078" s="8"/>
      <c r="B2078" s="8"/>
      <c r="C2078" s="8"/>
      <c r="D2078" s="8"/>
    </row>
    <row r="2079" spans="1:4" x14ac:dyDescent="0.25">
      <c r="A2079" s="8"/>
      <c r="B2079" s="8"/>
      <c r="C2079" s="8"/>
      <c r="D2079" s="8"/>
    </row>
    <row r="2080" spans="1:4" x14ac:dyDescent="0.25">
      <c r="A2080" s="8"/>
      <c r="B2080" s="8"/>
      <c r="C2080" s="8"/>
      <c r="D2080" s="8"/>
    </row>
    <row r="2081" spans="1:4" x14ac:dyDescent="0.25">
      <c r="A2081" s="8"/>
      <c r="B2081" s="8"/>
      <c r="C2081" s="8"/>
      <c r="D2081" s="8"/>
    </row>
    <row r="2082" spans="1:4" x14ac:dyDescent="0.25">
      <c r="A2082" s="8"/>
      <c r="B2082" s="8"/>
      <c r="C2082" s="8"/>
      <c r="D2082" s="8"/>
    </row>
    <row r="2083" spans="1:4" x14ac:dyDescent="0.25">
      <c r="A2083" s="8"/>
      <c r="B2083" s="8"/>
      <c r="C2083" s="8"/>
      <c r="D2083" s="8"/>
    </row>
    <row r="2084" spans="1:4" x14ac:dyDescent="0.25">
      <c r="A2084" s="8"/>
      <c r="B2084" s="8"/>
      <c r="C2084" s="8"/>
      <c r="D2084" s="8"/>
    </row>
    <row r="2085" spans="1:4" x14ac:dyDescent="0.25">
      <c r="A2085" s="8"/>
      <c r="B2085" s="8"/>
      <c r="C2085" s="8"/>
      <c r="D2085" s="8"/>
    </row>
    <row r="2086" spans="1:4" x14ac:dyDescent="0.25">
      <c r="A2086" s="8"/>
      <c r="B2086" s="8"/>
      <c r="C2086" s="8"/>
      <c r="D2086" s="8"/>
    </row>
    <row r="2087" spans="1:4" x14ac:dyDescent="0.25">
      <c r="A2087" s="8"/>
      <c r="B2087" s="8"/>
      <c r="C2087" s="8"/>
      <c r="D2087" s="8"/>
    </row>
    <row r="2088" spans="1:4" x14ac:dyDescent="0.25">
      <c r="A2088" s="8"/>
      <c r="B2088" s="8"/>
      <c r="C2088" s="8"/>
      <c r="D2088" s="8"/>
    </row>
    <row r="2089" spans="1:4" x14ac:dyDescent="0.25">
      <c r="A2089" s="8"/>
      <c r="B2089" s="8"/>
      <c r="C2089" s="8"/>
      <c r="D2089" s="8"/>
    </row>
    <row r="2090" spans="1:4" x14ac:dyDescent="0.25">
      <c r="A2090" s="8"/>
      <c r="B2090" s="8"/>
      <c r="C2090" s="8"/>
      <c r="D2090" s="8"/>
    </row>
    <row r="2179" spans="1:122" x14ac:dyDescent="0.25">
      <c r="C2179" s="73" t="s">
        <v>1011</v>
      </c>
      <c r="D2179" s="73" t="s">
        <v>1012</v>
      </c>
      <c r="E2179" s="73" t="s">
        <v>85</v>
      </c>
      <c r="F2179" s="73" t="s">
        <v>86</v>
      </c>
      <c r="G2179" s="73" t="s">
        <v>118</v>
      </c>
      <c r="H2179" s="73" t="s">
        <v>13</v>
      </c>
      <c r="I2179" s="73" t="s">
        <v>125</v>
      </c>
      <c r="J2179" s="73" t="s">
        <v>127</v>
      </c>
      <c r="K2179" s="73" t="s">
        <v>1013</v>
      </c>
      <c r="L2179" s="73" t="s">
        <v>130</v>
      </c>
      <c r="M2179" s="73" t="s">
        <v>132</v>
      </c>
      <c r="N2179" s="73" t="s">
        <v>136</v>
      </c>
      <c r="O2179" s="73" t="s">
        <v>1014</v>
      </c>
      <c r="P2179" s="73" t="s">
        <v>1015</v>
      </c>
      <c r="Q2179" s="73" t="s">
        <v>946</v>
      </c>
      <c r="R2179" s="73" t="s">
        <v>714</v>
      </c>
      <c r="S2179" s="73" t="s">
        <v>715</v>
      </c>
      <c r="T2179" s="73" t="s">
        <v>139</v>
      </c>
      <c r="U2179" s="73" t="s">
        <v>22</v>
      </c>
      <c r="V2179" s="73" t="s">
        <v>180</v>
      </c>
      <c r="W2179" s="73" t="s">
        <v>741</v>
      </c>
      <c r="X2179" s="73" t="s">
        <v>182</v>
      </c>
      <c r="Y2179" s="73" t="s">
        <v>14</v>
      </c>
      <c r="Z2179" s="73" t="s">
        <v>200</v>
      </c>
      <c r="AA2179" s="74" t="s">
        <v>898</v>
      </c>
      <c r="AB2179" s="73" t="s">
        <v>746</v>
      </c>
      <c r="AC2179" s="74" t="s">
        <v>54</v>
      </c>
      <c r="AD2179" s="74" t="s">
        <v>1016</v>
      </c>
      <c r="AE2179" s="73" t="s">
        <v>1017</v>
      </c>
      <c r="AF2179" s="73" t="s">
        <v>218</v>
      </c>
      <c r="AG2179" s="73" t="s">
        <v>869</v>
      </c>
      <c r="AH2179" s="73" t="s">
        <v>232</v>
      </c>
      <c r="AI2179" s="73" t="s">
        <v>234</v>
      </c>
      <c r="AJ2179" s="73" t="s">
        <v>39</v>
      </c>
      <c r="AK2179" s="73" t="s">
        <v>248</v>
      </c>
      <c r="AL2179" s="73" t="s">
        <v>249</v>
      </c>
      <c r="AM2179" s="73" t="s">
        <v>41</v>
      </c>
      <c r="AN2179" s="73" t="s">
        <v>251</v>
      </c>
      <c r="AO2179" s="73" t="s">
        <v>254</v>
      </c>
      <c r="AP2179" s="73" t="s">
        <v>1018</v>
      </c>
      <c r="AQ2179" s="73" t="s">
        <v>311</v>
      </c>
      <c r="AR2179" s="73" t="s">
        <v>788</v>
      </c>
      <c r="AS2179" s="73" t="s">
        <v>1019</v>
      </c>
      <c r="AT2179" s="73" t="s">
        <v>326</v>
      </c>
      <c r="AU2179" s="73" t="s">
        <v>327</v>
      </c>
      <c r="AV2179" s="73" t="s">
        <v>1020</v>
      </c>
      <c r="AW2179" s="73" t="s">
        <v>800</v>
      </c>
      <c r="AX2179" s="73" t="s">
        <v>1021</v>
      </c>
      <c r="AY2179" s="73" t="s">
        <v>1426</v>
      </c>
      <c r="AZ2179" s="73" t="s">
        <v>331</v>
      </c>
      <c r="BA2179" s="73" t="s">
        <v>332</v>
      </c>
      <c r="BB2179" s="73" t="s">
        <v>335</v>
      </c>
      <c r="BC2179" s="73" t="s">
        <v>336</v>
      </c>
      <c r="BD2179" s="73" t="s">
        <v>338</v>
      </c>
      <c r="BE2179" s="73" t="s">
        <v>1022</v>
      </c>
      <c r="BF2179" s="73" t="s">
        <v>339</v>
      </c>
      <c r="BG2179" s="73" t="s">
        <v>803</v>
      </c>
      <c r="BH2179" s="73" t="s">
        <v>51</v>
      </c>
      <c r="BI2179" s="73" t="s">
        <v>900</v>
      </c>
      <c r="BJ2179" s="73" t="s">
        <v>357</v>
      </c>
      <c r="BK2179" s="73" t="s">
        <v>45</v>
      </c>
      <c r="BL2179" s="73" t="s">
        <v>1023</v>
      </c>
      <c r="BM2179" s="73" t="s">
        <v>1024</v>
      </c>
      <c r="BN2179" s="73" t="s">
        <v>365</v>
      </c>
      <c r="BO2179" s="73" t="s">
        <v>72</v>
      </c>
      <c r="BP2179" s="73" t="s">
        <v>882</v>
      </c>
      <c r="BQ2179" s="73" t="s">
        <v>902</v>
      </c>
      <c r="BR2179" s="73" t="s">
        <v>883</v>
      </c>
      <c r="BS2179" s="73" t="s">
        <v>1025</v>
      </c>
      <c r="BT2179" s="73" t="s">
        <v>1008</v>
      </c>
      <c r="BU2179" s="73" t="s">
        <v>441</v>
      </c>
      <c r="BV2179" s="73" t="s">
        <v>1026</v>
      </c>
      <c r="BW2179" s="73" t="s">
        <v>446</v>
      </c>
      <c r="BX2179" s="73" t="s">
        <v>1027</v>
      </c>
      <c r="BY2179" s="73" t="s">
        <v>447</v>
      </c>
      <c r="BZ2179" s="73" t="s">
        <v>452</v>
      </c>
      <c r="CA2179" s="73" t="s">
        <v>460</v>
      </c>
      <c r="CB2179" s="73" t="s">
        <v>904</v>
      </c>
      <c r="CC2179" s="73" t="s">
        <v>906</v>
      </c>
      <c r="CD2179" s="73" t="s">
        <v>1028</v>
      </c>
      <c r="CE2179" s="73" t="s">
        <v>464</v>
      </c>
      <c r="CF2179" s="73" t="s">
        <v>476</v>
      </c>
      <c r="CG2179" s="73" t="s">
        <v>907</v>
      </c>
      <c r="CH2179" s="73" t="s">
        <v>844</v>
      </c>
      <c r="CI2179" s="73" t="s">
        <v>481</v>
      </c>
      <c r="CJ2179" s="73" t="s">
        <v>993</v>
      </c>
      <c r="CK2179" s="73" t="s">
        <v>531</v>
      </c>
      <c r="CL2179" s="73" t="s">
        <v>1029</v>
      </c>
      <c r="CM2179" s="73" t="s">
        <v>532</v>
      </c>
      <c r="CN2179" s="73" t="s">
        <v>1030</v>
      </c>
      <c r="CO2179" s="73" t="s">
        <v>551</v>
      </c>
      <c r="CP2179" s="73" t="s">
        <v>554</v>
      </c>
      <c r="CQ2179" s="73" t="s">
        <v>859</v>
      </c>
      <c r="CR2179" s="73" t="s">
        <v>37</v>
      </c>
      <c r="CS2179" s="73" t="s">
        <v>566</v>
      </c>
      <c r="CT2179" s="73" t="s">
        <v>571</v>
      </c>
      <c r="CU2179" s="73" t="s">
        <v>1005</v>
      </c>
      <c r="CV2179" s="73" t="s">
        <v>1031</v>
      </c>
      <c r="CW2179" s="73" t="s">
        <v>622</v>
      </c>
      <c r="CX2179" s="73" t="s">
        <v>866</v>
      </c>
      <c r="CY2179" s="73" t="s">
        <v>1425</v>
      </c>
      <c r="CZ2179" s="80" t="s">
        <v>1032</v>
      </c>
      <c r="DA2179" s="73" t="s">
        <v>1033</v>
      </c>
      <c r="DB2179" s="73" t="s">
        <v>52</v>
      </c>
      <c r="DC2179" s="73" t="s">
        <v>1034</v>
      </c>
      <c r="DD2179" s="73" t="s">
        <v>626</v>
      </c>
    </row>
    <row r="2180" spans="1:122" x14ac:dyDescent="0.25">
      <c r="A2180" s="73" t="s">
        <v>1011</v>
      </c>
      <c r="B2180" s="73" t="s">
        <v>1011</v>
      </c>
      <c r="C2180" s="8" t="s">
        <v>1035</v>
      </c>
      <c r="D2180" s="8" t="s">
        <v>1427</v>
      </c>
      <c r="E2180" s="8" t="s">
        <v>1036</v>
      </c>
      <c r="F2180" s="8">
        <v>2010</v>
      </c>
      <c r="G2180" s="8" t="s">
        <v>915</v>
      </c>
      <c r="H2180" s="8" t="s">
        <v>119</v>
      </c>
      <c r="I2180" s="8">
        <v>1005</v>
      </c>
      <c r="J2180" s="8" t="s">
        <v>922</v>
      </c>
      <c r="K2180" s="8" t="s">
        <v>729</v>
      </c>
      <c r="L2180" s="8" t="s">
        <v>925</v>
      </c>
      <c r="M2180" s="8" t="s">
        <v>133</v>
      </c>
      <c r="N2180" s="8" t="s">
        <v>1070</v>
      </c>
      <c r="O2180" s="8" t="s">
        <v>1074</v>
      </c>
      <c r="P2180" s="8" t="s">
        <v>926</v>
      </c>
      <c r="Q2180" s="8" t="s">
        <v>730</v>
      </c>
      <c r="R2180" s="8" t="s">
        <v>657</v>
      </c>
      <c r="S2180" s="8">
        <v>49600</v>
      </c>
      <c r="T2180" s="8" t="s">
        <v>140</v>
      </c>
      <c r="U2180" s="8" t="s">
        <v>1076</v>
      </c>
      <c r="V2180" s="8" t="s">
        <v>181</v>
      </c>
      <c r="W2180" s="8">
        <v>3011015</v>
      </c>
      <c r="X2180" s="8" t="s">
        <v>1087</v>
      </c>
      <c r="Y2180" s="8" t="s">
        <v>1431</v>
      </c>
      <c r="Z2180" s="8" t="s">
        <v>201</v>
      </c>
      <c r="AA2180" s="8" t="s">
        <v>956</v>
      </c>
      <c r="AB2180" s="8">
        <v>256631</v>
      </c>
      <c r="AC2180" s="8" t="s">
        <v>1110</v>
      </c>
      <c r="AD2180" s="8" t="s">
        <v>1438</v>
      </c>
      <c r="AE2180" s="8">
        <v>6260</v>
      </c>
      <c r="AF2180" s="8" t="s">
        <v>958</v>
      </c>
      <c r="AG2180" s="8" t="s">
        <v>1122</v>
      </c>
      <c r="AH2180" s="8" t="s">
        <v>671</v>
      </c>
      <c r="AI2180" s="8" t="s">
        <v>235</v>
      </c>
      <c r="AJ2180" s="8" t="s">
        <v>239</v>
      </c>
      <c r="AK2180" s="8" t="s">
        <v>1129</v>
      </c>
      <c r="AL2180" s="8">
        <v>2007</v>
      </c>
      <c r="AM2180" s="8" t="s">
        <v>1132</v>
      </c>
      <c r="AN2180" s="8" t="s">
        <v>252</v>
      </c>
      <c r="AO2180" s="8" t="s">
        <v>255</v>
      </c>
      <c r="AP2180" s="8" t="s">
        <v>1156</v>
      </c>
      <c r="AQ2180" s="8" t="s">
        <v>787</v>
      </c>
      <c r="AR2180" s="8">
        <v>11055</v>
      </c>
      <c r="AS2180" s="8" t="s">
        <v>314</v>
      </c>
      <c r="AT2180" s="8" t="s">
        <v>678</v>
      </c>
      <c r="AU2180" s="8" t="s">
        <v>899</v>
      </c>
      <c r="AV2180" s="8">
        <v>4000037</v>
      </c>
      <c r="AW2180" s="8" t="s">
        <v>801</v>
      </c>
      <c r="AX2180" s="8" t="s">
        <v>329</v>
      </c>
      <c r="AY2180" s="8" t="s">
        <v>1444</v>
      </c>
      <c r="AZ2180" s="8">
        <v>632</v>
      </c>
      <c r="BA2180" s="8" t="s">
        <v>1170</v>
      </c>
      <c r="BB2180" s="8">
        <v>247020</v>
      </c>
      <c r="BC2180" s="8" t="s">
        <v>802</v>
      </c>
      <c r="BD2180" s="8" t="s">
        <v>682</v>
      </c>
      <c r="BE2180" s="8" t="s">
        <v>1448</v>
      </c>
      <c r="BF2180" s="8" t="s">
        <v>340</v>
      </c>
      <c r="BG2180" s="8" t="s">
        <v>966</v>
      </c>
      <c r="BH2180" s="8">
        <v>11500</v>
      </c>
      <c r="BI2180" s="8" t="s">
        <v>355</v>
      </c>
      <c r="BJ2180" s="8" t="s">
        <v>684</v>
      </c>
      <c r="BK2180" s="8" t="s">
        <v>1195</v>
      </c>
      <c r="BL2180" s="8" t="s">
        <v>1203</v>
      </c>
      <c r="BM2180" s="8" t="s">
        <v>1204</v>
      </c>
      <c r="BN2180" s="8" t="s">
        <v>1208</v>
      </c>
      <c r="BO2180" s="8" t="s">
        <v>1261</v>
      </c>
      <c r="BP2180" s="8" t="s">
        <v>750</v>
      </c>
      <c r="BQ2180" s="8" t="s">
        <v>1271</v>
      </c>
      <c r="BR2180" s="8" t="s">
        <v>697</v>
      </c>
      <c r="BS2180" s="8" t="s">
        <v>1275</v>
      </c>
      <c r="BT2180" s="8">
        <v>31860</v>
      </c>
      <c r="BU2180" s="8" t="s">
        <v>442</v>
      </c>
      <c r="BV2180" s="8" t="s">
        <v>444</v>
      </c>
      <c r="BW2180" s="8" t="s">
        <v>1464</v>
      </c>
      <c r="BX2180" s="8" t="s">
        <v>675</v>
      </c>
      <c r="BY2180" s="8" t="s">
        <v>699</v>
      </c>
      <c r="BZ2180" s="8" t="s">
        <v>453</v>
      </c>
      <c r="CA2180" s="8" t="s">
        <v>821</v>
      </c>
      <c r="CB2180" s="8">
        <v>1604</v>
      </c>
      <c r="CC2180" s="8" t="s">
        <v>478</v>
      </c>
      <c r="CD2180" s="8" t="s">
        <v>1287</v>
      </c>
      <c r="CE2180" s="8" t="s">
        <v>1287</v>
      </c>
      <c r="CF2180" s="8" t="s">
        <v>1469</v>
      </c>
      <c r="CG2180" s="8" t="s">
        <v>620</v>
      </c>
      <c r="CH2180" s="8" t="s">
        <v>992</v>
      </c>
      <c r="CI2180" s="8" t="s">
        <v>845</v>
      </c>
      <c r="CJ2180" s="8" t="s">
        <v>449</v>
      </c>
      <c r="CK2180" s="8">
        <v>10247</v>
      </c>
      <c r="CL2180" s="8" t="s">
        <v>1306</v>
      </c>
      <c r="CM2180" s="8" t="s">
        <v>533</v>
      </c>
      <c r="CN2180" s="8" t="s">
        <v>1319</v>
      </c>
      <c r="CO2180" s="8">
        <v>54710</v>
      </c>
      <c r="CP2180" s="8" t="s">
        <v>1002</v>
      </c>
      <c r="CQ2180" s="8" t="s">
        <v>1348</v>
      </c>
      <c r="CR2180" s="8" t="s">
        <v>38</v>
      </c>
      <c r="CS2180" s="8" t="s">
        <v>567</v>
      </c>
      <c r="CT2180" s="8" t="s">
        <v>1353</v>
      </c>
      <c r="CU2180" s="8" t="s">
        <v>864</v>
      </c>
      <c r="CV2180" s="8" t="s">
        <v>1367</v>
      </c>
      <c r="CW2180" s="8" t="s">
        <v>1370</v>
      </c>
      <c r="CX2180" s="8" t="s">
        <v>867</v>
      </c>
      <c r="CY2180" s="8">
        <v>490057</v>
      </c>
      <c r="CZ2180" s="8" t="s">
        <v>343</v>
      </c>
      <c r="DA2180" s="8" t="s">
        <v>1374</v>
      </c>
      <c r="DB2180" s="8" t="s">
        <v>1375</v>
      </c>
      <c r="DC2180" s="8" t="s">
        <v>1478</v>
      </c>
      <c r="DD2180" s="8" t="s">
        <v>627</v>
      </c>
      <c r="DR2180" t="s">
        <v>669</v>
      </c>
    </row>
    <row r="2181" spans="1:122" x14ac:dyDescent="0.25">
      <c r="A2181" s="73" t="s">
        <v>1012</v>
      </c>
      <c r="B2181" s="73" t="s">
        <v>1012</v>
      </c>
      <c r="C2181" s="8"/>
      <c r="D2181" s="8"/>
      <c r="E2181" s="8" t="s">
        <v>913</v>
      </c>
      <c r="F2181" s="8">
        <v>2020</v>
      </c>
      <c r="G2181" s="8"/>
      <c r="H2181" s="8" t="s">
        <v>120</v>
      </c>
      <c r="I2181" s="8">
        <v>1026</v>
      </c>
      <c r="J2181" s="8" t="s">
        <v>1063</v>
      </c>
      <c r="L2181" s="8" t="s">
        <v>1066</v>
      </c>
      <c r="M2181" s="8" t="s">
        <v>935</v>
      </c>
      <c r="N2181" s="8" t="s">
        <v>1071</v>
      </c>
      <c r="O2181" s="8" t="s">
        <v>895</v>
      </c>
      <c r="P2181" s="8" t="s">
        <v>927</v>
      </c>
      <c r="Q2181" s="8" t="s">
        <v>1075</v>
      </c>
      <c r="S2181" s="8">
        <v>52000</v>
      </c>
      <c r="T2181" s="8" t="s">
        <v>662</v>
      </c>
      <c r="U2181" s="8" t="s">
        <v>1077</v>
      </c>
      <c r="V2181" s="8"/>
      <c r="W2181" s="8">
        <v>3015013</v>
      </c>
      <c r="X2181" s="8" t="s">
        <v>1088</v>
      </c>
      <c r="Y2181" s="8" t="s">
        <v>1432</v>
      </c>
      <c r="Z2181" s="8">
        <v>4000019</v>
      </c>
      <c r="AA2181" s="8" t="s">
        <v>957</v>
      </c>
      <c r="AB2181" s="8">
        <v>690347</v>
      </c>
      <c r="AC2181" s="8" t="s">
        <v>1111</v>
      </c>
      <c r="AD2181" s="8" t="s">
        <v>1439</v>
      </c>
      <c r="AE2181" s="8" t="s">
        <v>1121</v>
      </c>
      <c r="AF2181" s="8" t="s">
        <v>748</v>
      </c>
      <c r="AG2181" s="8">
        <v>10000007852</v>
      </c>
      <c r="AH2181" s="8" t="s">
        <v>672</v>
      </c>
      <c r="AI2181" s="8" t="s">
        <v>236</v>
      </c>
      <c r="AJ2181" s="8" t="s">
        <v>240</v>
      </c>
      <c r="AK2181" s="8" t="s">
        <v>1130</v>
      </c>
      <c r="AL2181" s="8">
        <v>2014</v>
      </c>
      <c r="AM2181" s="8" t="s">
        <v>1133</v>
      </c>
      <c r="AN2181" s="8" t="s">
        <v>253</v>
      </c>
      <c r="AO2181" s="8" t="s">
        <v>256</v>
      </c>
      <c r="AP2181" s="8"/>
      <c r="AQ2181" s="8" t="s">
        <v>1157</v>
      </c>
      <c r="AR2181" s="8" t="s">
        <v>1158</v>
      </c>
      <c r="AS2181" s="8" t="s">
        <v>315</v>
      </c>
      <c r="AT2181" s="8" t="s">
        <v>679</v>
      </c>
      <c r="AU2181" s="8" t="s">
        <v>799</v>
      </c>
      <c r="AV2181" s="8" t="s">
        <v>1164</v>
      </c>
      <c r="AW2181" s="8" t="s">
        <v>1167</v>
      </c>
      <c r="AX2181" s="8" t="s">
        <v>1168</v>
      </c>
      <c r="AY2181" s="8"/>
      <c r="AZ2181" s="8" t="s">
        <v>1169</v>
      </c>
      <c r="BA2181" s="8" t="s">
        <v>680</v>
      </c>
      <c r="BB2181" s="8">
        <v>272420</v>
      </c>
      <c r="BC2181" s="8" t="s">
        <v>337</v>
      </c>
      <c r="BD2181" s="8" t="s">
        <v>1176</v>
      </c>
      <c r="BE2181" s="8" t="s">
        <v>1178</v>
      </c>
      <c r="BF2181" s="8" t="s">
        <v>341</v>
      </c>
      <c r="BG2181" s="8" t="s">
        <v>1179</v>
      </c>
      <c r="BH2181" s="8" t="s">
        <v>1187</v>
      </c>
      <c r="BI2181" s="8"/>
      <c r="BJ2181" s="8" t="s">
        <v>358</v>
      </c>
      <c r="BK2181" s="8" t="s">
        <v>1196</v>
      </c>
      <c r="BL2181" s="8"/>
      <c r="BM2181" s="8" t="s">
        <v>1205</v>
      </c>
      <c r="BN2181" s="8" t="s">
        <v>1209</v>
      </c>
      <c r="BO2181" s="8" t="s">
        <v>969</v>
      </c>
      <c r="BP2181" s="8" t="s">
        <v>751</v>
      </c>
      <c r="BQ2181" s="8" t="s">
        <v>1272</v>
      </c>
      <c r="BR2181" s="8" t="s">
        <v>816</v>
      </c>
      <c r="BT2181" s="8" t="s">
        <v>434</v>
      </c>
      <c r="BU2181" s="8"/>
      <c r="BV2181" s="8"/>
      <c r="BW2181" s="8"/>
      <c r="BX2181" s="8" t="s">
        <v>676</v>
      </c>
      <c r="BY2181" s="8" t="s">
        <v>819</v>
      </c>
      <c r="BZ2181" s="8"/>
      <c r="CA2181" s="8" t="s">
        <v>822</v>
      </c>
      <c r="CB2181" s="8" t="s">
        <v>905</v>
      </c>
      <c r="CC2181" s="8" t="s">
        <v>479</v>
      </c>
      <c r="CD2181" s="8"/>
      <c r="CE2181" s="8" t="s">
        <v>1288</v>
      </c>
      <c r="CF2181" s="8" t="s">
        <v>1299</v>
      </c>
      <c r="CG2181" s="8" t="s">
        <v>621</v>
      </c>
      <c r="CH2181" s="8"/>
      <c r="CI2181" s="8" t="s">
        <v>482</v>
      </c>
      <c r="CJ2181" s="8" t="s">
        <v>1304</v>
      </c>
      <c r="CK2181" s="8">
        <v>10249</v>
      </c>
      <c r="CL2181" s="8" t="s">
        <v>1307</v>
      </c>
      <c r="CM2181" s="8" t="s">
        <v>847</v>
      </c>
      <c r="CN2181" s="8">
        <v>113</v>
      </c>
      <c r="CO2181" s="8">
        <v>54715</v>
      </c>
      <c r="CP2181" s="8" t="s">
        <v>1003</v>
      </c>
      <c r="CQ2181" s="8" t="s">
        <v>1349</v>
      </c>
      <c r="CR2181" s="8" t="s">
        <v>565</v>
      </c>
      <c r="CS2181" s="8" t="s">
        <v>1004</v>
      </c>
      <c r="CT2181" s="8" t="s">
        <v>572</v>
      </c>
      <c r="CU2181" s="8" t="s">
        <v>865</v>
      </c>
      <c r="CV2181" s="8" t="s">
        <v>1368</v>
      </c>
      <c r="CW2181" s="8" t="s">
        <v>1371</v>
      </c>
      <c r="CX2181" s="8" t="s">
        <v>1373</v>
      </c>
      <c r="CY2181" s="8"/>
      <c r="CZ2181" s="8"/>
      <c r="DA2181" s="8"/>
      <c r="DB2181" s="8" t="s">
        <v>624</v>
      </c>
      <c r="DC2181" s="8" t="s">
        <v>1421</v>
      </c>
      <c r="DD2181" s="8"/>
    </row>
    <row r="2182" spans="1:122" x14ac:dyDescent="0.25">
      <c r="A2182" s="73" t="s">
        <v>85</v>
      </c>
      <c r="B2182" s="73" t="s">
        <v>85</v>
      </c>
      <c r="D2182" s="8"/>
      <c r="E2182" s="8" t="s">
        <v>1037</v>
      </c>
      <c r="F2182" s="8">
        <v>311</v>
      </c>
      <c r="H2182" s="8" t="s">
        <v>121</v>
      </c>
      <c r="I2182" s="8">
        <v>1027</v>
      </c>
      <c r="J2182" s="8" t="s">
        <v>1064</v>
      </c>
      <c r="L2182" s="8" t="s">
        <v>1067</v>
      </c>
      <c r="M2182" s="8" t="s">
        <v>936</v>
      </c>
      <c r="N2182" s="8" t="s">
        <v>137</v>
      </c>
      <c r="O2182" s="8" t="s">
        <v>896</v>
      </c>
      <c r="P2182" s="8" t="s">
        <v>732</v>
      </c>
      <c r="Q2182" s="8"/>
      <c r="S2182" s="8"/>
      <c r="T2182" s="8"/>
      <c r="U2182" s="8" t="s">
        <v>1078</v>
      </c>
      <c r="W2182" s="8">
        <v>3015014</v>
      </c>
      <c r="X2182" s="8" t="s">
        <v>1089</v>
      </c>
      <c r="Y2182" s="8" t="s">
        <v>1098</v>
      </c>
      <c r="Z2182" s="8">
        <v>4000020</v>
      </c>
      <c r="AA2182" s="8" t="s">
        <v>1109</v>
      </c>
      <c r="AB2182" s="8">
        <v>1133167</v>
      </c>
      <c r="AC2182" s="8" t="s">
        <v>1112</v>
      </c>
      <c r="AD2182" s="8" t="s">
        <v>1119</v>
      </c>
      <c r="AE2182" s="8"/>
      <c r="AF2182" s="8" t="s">
        <v>219</v>
      </c>
      <c r="AG2182" s="8">
        <v>7006</v>
      </c>
      <c r="AH2182" s="8" t="s">
        <v>233</v>
      </c>
      <c r="AI2182" s="8" t="s">
        <v>237</v>
      </c>
      <c r="AJ2182" s="8" t="s">
        <v>241</v>
      </c>
      <c r="AK2182" s="8" t="s">
        <v>1131</v>
      </c>
      <c r="AL2182" s="8">
        <v>301039</v>
      </c>
      <c r="AM2182" s="8" t="s">
        <v>1134</v>
      </c>
      <c r="AN2182" s="8"/>
      <c r="AO2182" s="8" t="s">
        <v>257</v>
      </c>
      <c r="AP2182" s="8"/>
      <c r="AQ2182" s="8" t="s">
        <v>963</v>
      </c>
      <c r="AR2182" s="8">
        <v>31716</v>
      </c>
      <c r="AS2182" s="8" t="s">
        <v>316</v>
      </c>
      <c r="AT2182" s="8"/>
      <c r="AU2182" s="8" t="s">
        <v>965</v>
      </c>
      <c r="AV2182" s="8" t="s">
        <v>1165</v>
      </c>
      <c r="AX2182" s="8"/>
      <c r="AY2182" s="8"/>
      <c r="AZ2182" s="8" t="s">
        <v>208</v>
      </c>
      <c r="BA2182" s="8" t="s">
        <v>1171</v>
      </c>
      <c r="BB2182" s="8">
        <v>282920</v>
      </c>
      <c r="BC2182" s="8"/>
      <c r="BD2182" s="8" t="s">
        <v>1177</v>
      </c>
      <c r="BE2182" s="8" t="s">
        <v>1449</v>
      </c>
      <c r="BF2182" s="8">
        <v>32.001800000000003</v>
      </c>
      <c r="BG2182" s="8" t="s">
        <v>1180</v>
      </c>
      <c r="BH2182" s="8" t="s">
        <v>967</v>
      </c>
      <c r="BJ2182" s="8"/>
      <c r="BK2182" s="8" t="s">
        <v>1197</v>
      </c>
      <c r="BL2182" s="8"/>
      <c r="BM2182" s="8" t="s">
        <v>1206</v>
      </c>
      <c r="BN2182" s="8" t="s">
        <v>1210</v>
      </c>
      <c r="BO2182" s="8" t="s">
        <v>1262</v>
      </c>
      <c r="BP2182" s="8" t="s">
        <v>752</v>
      </c>
      <c r="BQ2182" s="8" t="s">
        <v>979</v>
      </c>
      <c r="BR2182" s="8" t="s">
        <v>432</v>
      </c>
      <c r="BT2182" s="8" t="s">
        <v>875</v>
      </c>
      <c r="BV2182" s="8"/>
      <c r="BW2182" s="8"/>
      <c r="BX2182" s="8" t="s">
        <v>677</v>
      </c>
      <c r="BY2182" s="8" t="s">
        <v>820</v>
      </c>
      <c r="BZ2182" s="8"/>
      <c r="CA2182" s="8" t="s">
        <v>823</v>
      </c>
      <c r="CB2182" s="8" t="s">
        <v>25</v>
      </c>
      <c r="CC2182" s="8" t="s">
        <v>1286</v>
      </c>
      <c r="CD2182" s="8"/>
      <c r="CE2182" s="8" t="s">
        <v>465</v>
      </c>
      <c r="CF2182" s="8"/>
      <c r="CG2182" s="8"/>
      <c r="CH2182" s="8"/>
      <c r="CI2182" s="8" t="s">
        <v>483</v>
      </c>
      <c r="CJ2182" s="8" t="s">
        <v>450</v>
      </c>
      <c r="CK2182" s="8">
        <v>10327</v>
      </c>
      <c r="CL2182" s="8"/>
      <c r="CM2182" s="8" t="s">
        <v>534</v>
      </c>
      <c r="CN2182" s="8">
        <v>114</v>
      </c>
      <c r="CO2182" s="8"/>
      <c r="CP2182" s="8" t="s">
        <v>555</v>
      </c>
      <c r="CQ2182" s="8" t="s">
        <v>1350</v>
      </c>
      <c r="CR2182" s="8"/>
      <c r="CS2182" s="8" t="s">
        <v>568</v>
      </c>
      <c r="CT2182" s="8" t="s">
        <v>573</v>
      </c>
      <c r="CU2182" s="8" t="s">
        <v>1006</v>
      </c>
      <c r="CV2182" s="8" t="s">
        <v>1369</v>
      </c>
      <c r="CW2182" s="8" t="s">
        <v>1372</v>
      </c>
      <c r="DB2182" s="8" t="s">
        <v>1376</v>
      </c>
      <c r="DC2182" s="8" t="s">
        <v>1422</v>
      </c>
      <c r="DD2182" s="8"/>
    </row>
    <row r="2183" spans="1:122" x14ac:dyDescent="0.25">
      <c r="A2183" s="73" t="s">
        <v>86</v>
      </c>
      <c r="B2183" s="73" t="s">
        <v>86</v>
      </c>
      <c r="E2183" s="8"/>
      <c r="F2183" s="8">
        <v>340</v>
      </c>
      <c r="H2183" s="8" t="s">
        <v>122</v>
      </c>
      <c r="I2183" s="8" t="s">
        <v>1038</v>
      </c>
      <c r="J2183" s="8" t="s">
        <v>1065</v>
      </c>
      <c r="L2183" s="8" t="s">
        <v>1068</v>
      </c>
      <c r="M2183" s="8" t="s">
        <v>937</v>
      </c>
      <c r="N2183" s="8" t="s">
        <v>1072</v>
      </c>
      <c r="O2183" s="8" t="s">
        <v>897</v>
      </c>
      <c r="P2183" s="8" t="s">
        <v>733</v>
      </c>
      <c r="Q2183" s="8"/>
      <c r="U2183" s="8" t="s">
        <v>141</v>
      </c>
      <c r="W2183" s="8">
        <v>3016010</v>
      </c>
      <c r="X2183" s="8" t="s">
        <v>1090</v>
      </c>
      <c r="Y2183" s="8" t="s">
        <v>2895</v>
      </c>
      <c r="Z2183" s="8">
        <v>4000048</v>
      </c>
      <c r="AB2183" s="8">
        <v>11553536</v>
      </c>
      <c r="AC2183" s="8" t="s">
        <v>1113</v>
      </c>
      <c r="AD2183" s="8" t="s">
        <v>1120</v>
      </c>
      <c r="AE2183" s="8"/>
      <c r="AF2183" s="8" t="s">
        <v>220</v>
      </c>
      <c r="AG2183" s="8">
        <v>7043</v>
      </c>
      <c r="AH2183" s="8" t="s">
        <v>673</v>
      </c>
      <c r="AJ2183" s="8" t="s">
        <v>242</v>
      </c>
      <c r="AK2183" s="8"/>
      <c r="AL2183" s="8" t="s">
        <v>250</v>
      </c>
      <c r="AM2183" s="8" t="s">
        <v>1135</v>
      </c>
      <c r="AN2183" s="8"/>
      <c r="AO2183" s="8" t="s">
        <v>258</v>
      </c>
      <c r="AP2183" s="8"/>
      <c r="AQ2183" s="8" t="s">
        <v>964</v>
      </c>
      <c r="AR2183" s="8">
        <v>31731</v>
      </c>
      <c r="AS2183" s="8" t="s">
        <v>67</v>
      </c>
      <c r="AT2183" s="8"/>
      <c r="AU2183" s="8" t="s">
        <v>1163</v>
      </c>
      <c r="AV2183" s="8" t="s">
        <v>1166</v>
      </c>
      <c r="AZ2183" s="8" t="s">
        <v>747</v>
      </c>
      <c r="BA2183" s="8" t="s">
        <v>1172</v>
      </c>
      <c r="BB2183" s="8" t="s">
        <v>1447</v>
      </c>
      <c r="BC2183" s="8"/>
      <c r="BD2183" s="8"/>
      <c r="BE2183" s="8"/>
      <c r="BF2183" s="8">
        <v>32.001899999999999</v>
      </c>
      <c r="BG2183" s="8" t="s">
        <v>1181</v>
      </c>
      <c r="BH2183" s="8" t="s">
        <v>345</v>
      </c>
      <c r="BJ2183" s="8"/>
      <c r="BK2183" s="8" t="s">
        <v>46</v>
      </c>
      <c r="BM2183" s="8" t="s">
        <v>623</v>
      </c>
      <c r="BN2183" s="8" t="s">
        <v>1211</v>
      </c>
      <c r="BO2183" s="8" t="s">
        <v>1263</v>
      </c>
      <c r="BP2183" s="8" t="s">
        <v>753</v>
      </c>
      <c r="BQ2183" s="8" t="s">
        <v>1273</v>
      </c>
      <c r="BR2183" s="8"/>
      <c r="BT2183" s="8" t="s">
        <v>1276</v>
      </c>
      <c r="BV2183" s="8"/>
      <c r="BW2183" s="8"/>
      <c r="BX2183" s="8" t="s">
        <v>962</v>
      </c>
      <c r="BY2183" s="8" t="s">
        <v>1281</v>
      </c>
      <c r="BZ2183" s="8"/>
      <c r="CA2183" s="8" t="s">
        <v>824</v>
      </c>
      <c r="CB2183" s="8" t="s">
        <v>817</v>
      </c>
      <c r="CC2183" s="8"/>
      <c r="CD2183" s="8"/>
      <c r="CE2183" s="8" t="s">
        <v>1289</v>
      </c>
      <c r="CF2183" s="8"/>
      <c r="CG2183" s="8"/>
      <c r="CI2183" s="8" t="s">
        <v>1300</v>
      </c>
      <c r="CJ2183" s="8" t="s">
        <v>451</v>
      </c>
      <c r="CK2183" s="8">
        <v>10328</v>
      </c>
      <c r="CL2183" s="8"/>
      <c r="CM2183" s="8" t="s">
        <v>1308</v>
      </c>
      <c r="CN2183" s="8">
        <v>116</v>
      </c>
      <c r="CO2183" s="8"/>
      <c r="CP2183" s="8" t="s">
        <v>1345</v>
      </c>
      <c r="CQ2183" s="8" t="s">
        <v>1351</v>
      </c>
      <c r="CR2183" s="8"/>
      <c r="CS2183" s="8" t="s">
        <v>569</v>
      </c>
      <c r="CT2183" s="8" t="s">
        <v>574</v>
      </c>
      <c r="CU2183" s="8" t="s">
        <v>1366</v>
      </c>
      <c r="CV2183" s="79"/>
      <c r="DB2183" s="8" t="s">
        <v>1476</v>
      </c>
      <c r="DC2183" s="8" t="s">
        <v>1423</v>
      </c>
      <c r="DD2183" s="8"/>
    </row>
    <row r="2184" spans="1:122" x14ac:dyDescent="0.25">
      <c r="A2184" s="73" t="s">
        <v>118</v>
      </c>
      <c r="B2184" s="73" t="s">
        <v>118</v>
      </c>
      <c r="E2184" s="8"/>
      <c r="F2184" s="8">
        <v>341</v>
      </c>
      <c r="H2184" s="8" t="s">
        <v>123</v>
      </c>
      <c r="I2184" s="8">
        <v>1063</v>
      </c>
      <c r="J2184" s="8" t="s">
        <v>923</v>
      </c>
      <c r="L2184" s="8" t="s">
        <v>2889</v>
      </c>
      <c r="M2184" s="8" t="s">
        <v>134</v>
      </c>
      <c r="N2184" s="8" t="s">
        <v>1073</v>
      </c>
      <c r="O2184" s="8"/>
      <c r="P2184" s="8" t="s">
        <v>734</v>
      </c>
      <c r="U2184" s="8" t="s">
        <v>142</v>
      </c>
      <c r="X2184" s="8" t="s">
        <v>1091</v>
      </c>
      <c r="Y2184" s="8" t="s">
        <v>1433</v>
      </c>
      <c r="Z2184" s="8" t="s">
        <v>202</v>
      </c>
      <c r="AB2184" s="8">
        <v>31933</v>
      </c>
      <c r="AC2184" s="8" t="s">
        <v>1114</v>
      </c>
      <c r="AD2184" s="8"/>
      <c r="AE2184" s="8"/>
      <c r="AF2184" s="8" t="s">
        <v>221</v>
      </c>
      <c r="AG2184" s="8">
        <v>8009</v>
      </c>
      <c r="AH2184" s="8"/>
      <c r="AJ2184" s="8" t="s">
        <v>243</v>
      </c>
      <c r="AK2184" s="8"/>
      <c r="AL2184" s="8">
        <v>30410</v>
      </c>
      <c r="AM2184" s="8" t="s">
        <v>1136</v>
      </c>
      <c r="AN2184" s="8"/>
      <c r="AO2184" s="8" t="s">
        <v>259</v>
      </c>
      <c r="AP2184" s="8"/>
      <c r="AQ2184" s="8"/>
      <c r="AR2184" s="8">
        <v>31761</v>
      </c>
      <c r="AS2184" s="8" t="s">
        <v>317</v>
      </c>
      <c r="AT2184" s="8"/>
      <c r="AU2184" s="8"/>
      <c r="AV2184" s="79"/>
      <c r="AZ2184" s="8" t="s">
        <v>209</v>
      </c>
      <c r="BA2184" s="8" t="s">
        <v>681</v>
      </c>
      <c r="BB2184" s="8">
        <v>290420</v>
      </c>
      <c r="BC2184" s="8"/>
      <c r="BD2184" s="8"/>
      <c r="BE2184" s="8"/>
      <c r="BF2184" s="8">
        <v>32.602400000000003</v>
      </c>
      <c r="BG2184" s="8" t="s">
        <v>1451</v>
      </c>
      <c r="BH2184" s="8" t="s">
        <v>346</v>
      </c>
      <c r="BJ2184" s="8"/>
      <c r="BK2184" s="8" t="s">
        <v>1198</v>
      </c>
      <c r="BM2184" s="8" t="s">
        <v>1207</v>
      </c>
      <c r="BN2184" s="8" t="s">
        <v>1212</v>
      </c>
      <c r="BO2184" s="8" t="s">
        <v>970</v>
      </c>
      <c r="BP2184" s="8" t="s">
        <v>754</v>
      </c>
      <c r="BQ2184" s="8" t="s">
        <v>980</v>
      </c>
      <c r="BR2184" s="8"/>
      <c r="BT2184" s="8" t="s">
        <v>876</v>
      </c>
      <c r="BV2184" s="8"/>
      <c r="BW2184" s="8"/>
      <c r="BX2184" s="8" t="s">
        <v>304</v>
      </c>
      <c r="BY2184" s="8" t="s">
        <v>1282</v>
      </c>
      <c r="BZ2184" s="8"/>
      <c r="CA2184" s="8" t="s">
        <v>983</v>
      </c>
      <c r="CB2184" s="8"/>
      <c r="CC2184" s="8"/>
      <c r="CD2184" s="8"/>
      <c r="CE2184" s="8" t="s">
        <v>988</v>
      </c>
      <c r="CF2184" s="8"/>
      <c r="CG2184" s="8"/>
      <c r="CI2184" s="8" t="s">
        <v>484</v>
      </c>
      <c r="CJ2184" s="8" t="s">
        <v>1305</v>
      </c>
      <c r="CK2184" s="8"/>
      <c r="CL2184" s="8"/>
      <c r="CM2184" s="8" t="s">
        <v>994</v>
      </c>
      <c r="CN2184" s="8" t="s">
        <v>1320</v>
      </c>
      <c r="CP2184" s="8" t="s">
        <v>1346</v>
      </c>
      <c r="CQ2184" s="8" t="s">
        <v>1352</v>
      </c>
      <c r="CS2184" s="8" t="s">
        <v>570</v>
      </c>
      <c r="CT2184" s="8" t="s">
        <v>17</v>
      </c>
      <c r="DB2184" s="8" t="s">
        <v>1377</v>
      </c>
      <c r="DC2184" s="8" t="s">
        <v>1424</v>
      </c>
    </row>
    <row r="2185" spans="1:122" x14ac:dyDescent="0.25">
      <c r="A2185" s="73" t="s">
        <v>13</v>
      </c>
      <c r="B2185" s="73" t="s">
        <v>13</v>
      </c>
      <c r="E2185" s="8"/>
      <c r="F2185" s="8">
        <v>342</v>
      </c>
      <c r="H2185" s="8" t="s">
        <v>124</v>
      </c>
      <c r="I2185" s="8">
        <v>142</v>
      </c>
      <c r="J2185" s="8" t="s">
        <v>660</v>
      </c>
      <c r="L2185" s="8" t="s">
        <v>1069</v>
      </c>
      <c r="M2185" s="8" t="s">
        <v>938</v>
      </c>
      <c r="N2185" s="8"/>
      <c r="O2185" s="8"/>
      <c r="P2185" s="8" t="s">
        <v>735</v>
      </c>
      <c r="U2185" s="8" t="s">
        <v>739</v>
      </c>
      <c r="X2185" s="8" t="s">
        <v>1092</v>
      </c>
      <c r="Y2185" s="8" t="s">
        <v>1099</v>
      </c>
      <c r="Z2185" s="8">
        <v>4000051</v>
      </c>
      <c r="AB2185" s="8">
        <v>74514</v>
      </c>
      <c r="AC2185" s="8" t="s">
        <v>1115</v>
      </c>
      <c r="AD2185" s="8"/>
      <c r="AE2185" s="8"/>
      <c r="AF2185" s="8" t="s">
        <v>222</v>
      </c>
      <c r="AG2185" s="8" t="s">
        <v>225</v>
      </c>
      <c r="AJ2185" s="8" t="s">
        <v>244</v>
      </c>
      <c r="AK2185" s="8"/>
      <c r="AL2185" s="8">
        <v>30411</v>
      </c>
      <c r="AM2185" s="8" t="s">
        <v>1137</v>
      </c>
      <c r="AN2185" s="8"/>
      <c r="AO2185" s="8" t="s">
        <v>260</v>
      </c>
      <c r="AP2185" s="8"/>
      <c r="AQ2185" s="8"/>
      <c r="AR2185" s="8">
        <v>31852</v>
      </c>
      <c r="AS2185" s="8" t="s">
        <v>68</v>
      </c>
      <c r="AU2185" s="8"/>
      <c r="AV2185" s="79"/>
      <c r="AZ2185" s="8" t="s">
        <v>210</v>
      </c>
      <c r="BA2185" s="8" t="s">
        <v>333</v>
      </c>
      <c r="BB2185" s="8">
        <v>48005184</v>
      </c>
      <c r="BC2185" s="8"/>
      <c r="BD2185" s="8"/>
      <c r="BE2185" s="8"/>
      <c r="BF2185" s="8" t="s">
        <v>1450</v>
      </c>
      <c r="BG2185" s="8" t="s">
        <v>1452</v>
      </c>
      <c r="BH2185" s="8" t="s">
        <v>347</v>
      </c>
      <c r="BJ2185" s="8"/>
      <c r="BK2185" s="8" t="s">
        <v>1199</v>
      </c>
      <c r="BM2185" s="8"/>
      <c r="BN2185" s="8" t="s">
        <v>1213</v>
      </c>
      <c r="BO2185" s="8" t="s">
        <v>73</v>
      </c>
      <c r="BP2185" s="8" t="s">
        <v>755</v>
      </c>
      <c r="BQ2185" s="8" t="s">
        <v>1274</v>
      </c>
      <c r="BR2185" s="8"/>
      <c r="BT2185" s="8" t="s">
        <v>981</v>
      </c>
      <c r="BX2185" s="8" t="s">
        <v>1280</v>
      </c>
      <c r="BY2185" s="8"/>
      <c r="BZ2185" s="8"/>
      <c r="CA2185" s="8" t="s">
        <v>1283</v>
      </c>
      <c r="CB2185" s="8"/>
      <c r="CC2185" s="8"/>
      <c r="CD2185" s="8"/>
      <c r="CE2185" s="8" t="s">
        <v>989</v>
      </c>
      <c r="CI2185" s="8" t="s">
        <v>485</v>
      </c>
      <c r="CJ2185" s="8"/>
      <c r="CM2185" s="8" t="s">
        <v>995</v>
      </c>
      <c r="CN2185" s="8" t="s">
        <v>709</v>
      </c>
      <c r="CP2185" s="8" t="s">
        <v>1347</v>
      </c>
      <c r="CS2185" s="8"/>
      <c r="CT2185" s="8" t="s">
        <v>575</v>
      </c>
      <c r="DB2185" s="8" t="s">
        <v>1378</v>
      </c>
      <c r="DC2185" s="79"/>
    </row>
    <row r="2186" spans="1:122" x14ac:dyDescent="0.25">
      <c r="A2186" s="73" t="s">
        <v>125</v>
      </c>
      <c r="B2186" s="73" t="s">
        <v>125</v>
      </c>
      <c r="E2186" s="8"/>
      <c r="F2186" s="8">
        <v>350</v>
      </c>
      <c r="H2186" s="8"/>
      <c r="I2186" s="8">
        <v>143</v>
      </c>
      <c r="J2186" s="8" t="s">
        <v>128</v>
      </c>
      <c r="L2186" s="8"/>
      <c r="M2186" s="8" t="s">
        <v>135</v>
      </c>
      <c r="N2186" s="8"/>
      <c r="P2186" s="8" t="s">
        <v>2890</v>
      </c>
      <c r="U2186" s="8" t="s">
        <v>947</v>
      </c>
      <c r="X2186" s="8" t="s">
        <v>1430</v>
      </c>
      <c r="Y2186" s="8" t="s">
        <v>1434</v>
      </c>
      <c r="Z2186" s="8">
        <v>4000052</v>
      </c>
      <c r="AB2186" s="8"/>
      <c r="AC2186" s="8" t="s">
        <v>1116</v>
      </c>
      <c r="AD2186" s="8"/>
      <c r="AE2186" s="8"/>
      <c r="AF2186" s="8" t="s">
        <v>223</v>
      </c>
      <c r="AG2186" s="8" t="s">
        <v>226</v>
      </c>
      <c r="AJ2186" s="8" t="s">
        <v>40</v>
      </c>
      <c r="AK2186" s="8"/>
      <c r="AL2186" s="8">
        <v>30654</v>
      </c>
      <c r="AM2186" s="8"/>
      <c r="AO2186" s="8" t="s">
        <v>261</v>
      </c>
      <c r="AP2186" s="8"/>
      <c r="AQ2186" s="8"/>
      <c r="AR2186" s="8">
        <v>32305</v>
      </c>
      <c r="AS2186" s="8" t="s">
        <v>69</v>
      </c>
      <c r="AU2186" s="8"/>
      <c r="AV2186" s="79"/>
      <c r="AZ2186" s="8" t="s">
        <v>211</v>
      </c>
      <c r="BA2186" s="8" t="s">
        <v>334</v>
      </c>
      <c r="BB2186" s="8">
        <v>48005188</v>
      </c>
      <c r="BC2186" s="8"/>
      <c r="BF2186" s="8"/>
      <c r="BG2186" s="8" t="s">
        <v>1453</v>
      </c>
      <c r="BH2186" s="8" t="s">
        <v>1188</v>
      </c>
      <c r="BJ2186" s="8"/>
      <c r="BK2186" s="8" t="s">
        <v>1200</v>
      </c>
      <c r="BN2186" s="8" t="s">
        <v>1214</v>
      </c>
      <c r="BO2186" s="8" t="s">
        <v>394</v>
      </c>
      <c r="BP2186" s="8" t="s">
        <v>974</v>
      </c>
      <c r="BQ2186" s="8"/>
      <c r="BR2186" s="8"/>
      <c r="BT2186" s="8" t="s">
        <v>903</v>
      </c>
      <c r="BX2186" s="8" t="s">
        <v>786</v>
      </c>
      <c r="BY2186" s="8"/>
      <c r="BZ2186" s="8"/>
      <c r="CA2186" s="8" t="s">
        <v>825</v>
      </c>
      <c r="CE2186" s="8" t="s">
        <v>990</v>
      </c>
      <c r="CI2186" s="8" t="s">
        <v>486</v>
      </c>
      <c r="CJ2186" s="8"/>
      <c r="CM2186" s="8" t="s">
        <v>1309</v>
      </c>
      <c r="CN2186" s="8">
        <v>152</v>
      </c>
      <c r="CP2186" s="8"/>
      <c r="CS2186" s="8"/>
      <c r="CT2186" s="8" t="s">
        <v>576</v>
      </c>
      <c r="DB2186" s="8" t="s">
        <v>1379</v>
      </c>
      <c r="DC2186" s="79"/>
    </row>
    <row r="2187" spans="1:122" x14ac:dyDescent="0.25">
      <c r="A2187" s="73" t="s">
        <v>127</v>
      </c>
      <c r="B2187" s="73" t="s">
        <v>127</v>
      </c>
      <c r="E2187" s="8"/>
      <c r="F2187" s="8">
        <v>355</v>
      </c>
      <c r="H2187" s="8"/>
      <c r="I2187" s="8" t="s">
        <v>1039</v>
      </c>
      <c r="J2187" s="8" t="s">
        <v>661</v>
      </c>
      <c r="L2187" s="8"/>
      <c r="M2187" s="8" t="s">
        <v>939</v>
      </c>
      <c r="N2187" s="8"/>
      <c r="P2187" s="8" t="s">
        <v>2891</v>
      </c>
      <c r="U2187" s="8" t="s">
        <v>1079</v>
      </c>
      <c r="X2187" s="8" t="s">
        <v>1093</v>
      </c>
      <c r="Y2187" s="8" t="s">
        <v>949</v>
      </c>
      <c r="Z2187" s="8">
        <v>4000073</v>
      </c>
      <c r="AB2187" s="8"/>
      <c r="AC2187" s="8" t="s">
        <v>206</v>
      </c>
      <c r="AD2187" s="8"/>
      <c r="AE2187" s="8"/>
      <c r="AF2187" s="8" t="s">
        <v>224</v>
      </c>
      <c r="AG2187" s="8" t="s">
        <v>227</v>
      </c>
      <c r="AJ2187" s="8" t="s">
        <v>1127</v>
      </c>
      <c r="AL2187" s="8">
        <v>461700</v>
      </c>
      <c r="AO2187" s="8" t="s">
        <v>28</v>
      </c>
      <c r="AP2187" s="8"/>
      <c r="AQ2187" s="8"/>
      <c r="AR2187" s="8" t="s">
        <v>789</v>
      </c>
      <c r="AS2187" s="8" t="s">
        <v>70</v>
      </c>
      <c r="AU2187" s="8"/>
      <c r="AV2187" s="79"/>
      <c r="AZ2187" s="8" t="s">
        <v>212</v>
      </c>
      <c r="BA2187" s="8" t="s">
        <v>1173</v>
      </c>
      <c r="BB2187" s="8">
        <v>48005706</v>
      </c>
      <c r="BC2187" s="8"/>
      <c r="BG2187" s="8" t="s">
        <v>1454</v>
      </c>
      <c r="BH2187" s="8" t="s">
        <v>1189</v>
      </c>
      <c r="BJ2187" s="8"/>
      <c r="BK2187" s="8" t="s">
        <v>359</v>
      </c>
      <c r="BN2187" s="8" t="s">
        <v>1215</v>
      </c>
      <c r="BO2187" s="8" t="s">
        <v>807</v>
      </c>
      <c r="BP2187" s="8" t="s">
        <v>975</v>
      </c>
      <c r="BQ2187" s="8"/>
      <c r="BR2187" s="8"/>
      <c r="BT2187" s="8" t="s">
        <v>435</v>
      </c>
      <c r="BX2187" s="8" t="s">
        <v>874</v>
      </c>
      <c r="BY2187" s="8"/>
      <c r="BZ2187" s="8"/>
      <c r="CA2187" s="8" t="s">
        <v>826</v>
      </c>
      <c r="CE2187" s="8" t="s">
        <v>462</v>
      </c>
      <c r="CI2187" s="8" t="s">
        <v>1301</v>
      </c>
      <c r="CM2187" s="8" t="s">
        <v>1310</v>
      </c>
      <c r="CN2187" s="8">
        <v>153</v>
      </c>
      <c r="CP2187" s="8"/>
      <c r="CT2187" s="8" t="s">
        <v>577</v>
      </c>
      <c r="DB2187" s="8" t="s">
        <v>1477</v>
      </c>
      <c r="DC2187" s="79"/>
    </row>
    <row r="2188" spans="1:122" x14ac:dyDescent="0.25">
      <c r="A2188" s="76" t="s">
        <v>1013</v>
      </c>
      <c r="B2188" s="77" t="s">
        <v>1013</v>
      </c>
      <c r="E2188" s="8"/>
      <c r="F2188" s="8">
        <v>371</v>
      </c>
      <c r="H2188" s="8"/>
      <c r="I2188" s="8" t="s">
        <v>659</v>
      </c>
      <c r="J2188" s="8" t="s">
        <v>924</v>
      </c>
      <c r="L2188" s="8"/>
      <c r="M2188" s="8"/>
      <c r="N2188" s="8"/>
      <c r="P2188" s="8" t="s">
        <v>2892</v>
      </c>
      <c r="U2188" s="8" t="s">
        <v>143</v>
      </c>
      <c r="X2188" s="8" t="s">
        <v>1094</v>
      </c>
      <c r="Y2188" s="8" t="s">
        <v>1100</v>
      </c>
      <c r="Z2188" s="8">
        <v>4000080</v>
      </c>
      <c r="AB2188" s="8"/>
      <c r="AC2188" s="8" t="s">
        <v>1117</v>
      </c>
      <c r="AD2188" s="8"/>
      <c r="AE2188" s="8"/>
      <c r="AF2188" s="8"/>
      <c r="AG2188" s="8" t="s">
        <v>228</v>
      </c>
      <c r="AJ2188" s="8" t="s">
        <v>245</v>
      </c>
      <c r="AL2188" s="8" t="s">
        <v>1440</v>
      </c>
      <c r="AO2188" s="8" t="s">
        <v>262</v>
      </c>
      <c r="AP2188" s="79"/>
      <c r="AR2188" s="8">
        <v>32759</v>
      </c>
      <c r="AS2188" s="8" t="s">
        <v>318</v>
      </c>
      <c r="AU2188" s="8"/>
      <c r="AV2188" s="79"/>
      <c r="AZ2188" s="8" t="s">
        <v>213</v>
      </c>
      <c r="BA2188" s="8" t="s">
        <v>1174</v>
      </c>
      <c r="BB2188" s="8">
        <v>48005786</v>
      </c>
      <c r="BC2188" s="8"/>
      <c r="BG2188" s="8" t="s">
        <v>1455</v>
      </c>
      <c r="BH2188" s="8" t="s">
        <v>348</v>
      </c>
      <c r="BK2188" s="8" t="s">
        <v>1201</v>
      </c>
      <c r="BN2188" s="8" t="s">
        <v>1216</v>
      </c>
      <c r="BO2188" s="8" t="s">
        <v>395</v>
      </c>
      <c r="BP2188" s="8" t="s">
        <v>1463</v>
      </c>
      <c r="BQ2188" s="8"/>
      <c r="BR2188" s="8"/>
      <c r="BT2188" s="8" t="s">
        <v>436</v>
      </c>
      <c r="BX2188" s="8" t="s">
        <v>305</v>
      </c>
      <c r="BY2188" s="8"/>
      <c r="BZ2188" s="8"/>
      <c r="CA2188" s="8" t="s">
        <v>827</v>
      </c>
      <c r="CE2188" s="8" t="s">
        <v>1290</v>
      </c>
      <c r="CI2188" s="8" t="s">
        <v>487</v>
      </c>
      <c r="CM2188" s="8" t="s">
        <v>535</v>
      </c>
      <c r="CN2188" s="8">
        <v>202</v>
      </c>
      <c r="CT2188" s="8" t="s">
        <v>911</v>
      </c>
      <c r="DB2188" s="8" t="s">
        <v>1380</v>
      </c>
      <c r="DC2188" s="79"/>
    </row>
    <row r="2189" spans="1:122" x14ac:dyDescent="0.25">
      <c r="A2189" s="73" t="s">
        <v>130</v>
      </c>
      <c r="B2189" s="73" t="s">
        <v>130</v>
      </c>
      <c r="E2189" s="8"/>
      <c r="F2189" s="8">
        <v>373</v>
      </c>
      <c r="H2189" s="8"/>
      <c r="I2189" s="8" t="s">
        <v>1040</v>
      </c>
      <c r="J2189" s="8"/>
      <c r="L2189" s="8"/>
      <c r="N2189" s="8"/>
      <c r="P2189" s="8" t="s">
        <v>2893</v>
      </c>
      <c r="U2189" s="8" t="s">
        <v>144</v>
      </c>
      <c r="X2189" s="8" t="s">
        <v>1095</v>
      </c>
      <c r="Y2189" s="8" t="s">
        <v>1435</v>
      </c>
      <c r="Z2189" s="8">
        <v>4000091</v>
      </c>
      <c r="AB2189" s="8"/>
      <c r="AC2189" s="8" t="s">
        <v>1118</v>
      </c>
      <c r="AD2189" s="8"/>
      <c r="AE2189" s="8"/>
      <c r="AF2189" s="8"/>
      <c r="AG2189" s="8" t="s">
        <v>670</v>
      </c>
      <c r="AJ2189" s="8" t="s">
        <v>246</v>
      </c>
      <c r="AL2189" s="8" t="s">
        <v>1441</v>
      </c>
      <c r="AO2189" s="8" t="s">
        <v>263</v>
      </c>
      <c r="AP2189" s="79"/>
      <c r="AR2189" s="8" t="s">
        <v>790</v>
      </c>
      <c r="AS2189" s="8" t="s">
        <v>319</v>
      </c>
      <c r="AU2189" s="8"/>
      <c r="AV2189" s="79"/>
      <c r="AZ2189" s="8" t="s">
        <v>214</v>
      </c>
      <c r="BA2189" s="8" t="s">
        <v>1175</v>
      </c>
      <c r="BB2189" s="8">
        <v>48005790</v>
      </c>
      <c r="BC2189" s="8"/>
      <c r="BG2189" s="8" t="s">
        <v>1456</v>
      </c>
      <c r="BH2189" s="8" t="s">
        <v>349</v>
      </c>
      <c r="BK2189" s="8" t="s">
        <v>360</v>
      </c>
      <c r="BN2189" s="8" t="s">
        <v>1217</v>
      </c>
      <c r="BO2189" s="8" t="s">
        <v>685</v>
      </c>
      <c r="BP2189" s="8" t="s">
        <v>976</v>
      </c>
      <c r="BQ2189" s="8"/>
      <c r="BR2189" s="8"/>
      <c r="BT2189" s="8" t="s">
        <v>698</v>
      </c>
      <c r="BX2189" s="8" t="s">
        <v>306</v>
      </c>
      <c r="BY2189" s="8"/>
      <c r="BZ2189" s="8"/>
      <c r="CA2189" s="8" t="s">
        <v>828</v>
      </c>
      <c r="CE2189" s="8" t="s">
        <v>1291</v>
      </c>
      <c r="CI2189" s="8" t="s">
        <v>488</v>
      </c>
      <c r="CM2189" s="8" t="s">
        <v>536</v>
      </c>
      <c r="CN2189" s="8">
        <v>203</v>
      </c>
      <c r="CT2189" s="8" t="s">
        <v>912</v>
      </c>
      <c r="DB2189" s="8" t="s">
        <v>1381</v>
      </c>
      <c r="DC2189" s="79"/>
    </row>
    <row r="2190" spans="1:122" x14ac:dyDescent="0.25">
      <c r="A2190" s="73" t="s">
        <v>132</v>
      </c>
      <c r="B2190" s="73" t="s">
        <v>132</v>
      </c>
      <c r="E2190" s="8"/>
      <c r="F2190" s="8">
        <v>404</v>
      </c>
      <c r="I2190" s="8" t="s">
        <v>1041</v>
      </c>
      <c r="J2190" s="8"/>
      <c r="N2190" s="8"/>
      <c r="P2190" s="8" t="s">
        <v>2894</v>
      </c>
      <c r="U2190" s="8" t="s">
        <v>56</v>
      </c>
      <c r="X2190" s="8" t="s">
        <v>1096</v>
      </c>
      <c r="Y2190" s="8" t="s">
        <v>184</v>
      </c>
      <c r="Z2190" s="8">
        <v>4000115</v>
      </c>
      <c r="AB2190" s="8"/>
      <c r="AC2190" s="8"/>
      <c r="AD2190" s="8"/>
      <c r="AE2190" s="8"/>
      <c r="AF2190" s="8"/>
      <c r="AG2190" s="8" t="s">
        <v>1123</v>
      </c>
      <c r="AJ2190" s="8" t="s">
        <v>1128</v>
      </c>
      <c r="AL2190" s="8" t="s">
        <v>1442</v>
      </c>
      <c r="AO2190" s="8" t="s">
        <v>264</v>
      </c>
      <c r="AP2190" s="79"/>
      <c r="AR2190" s="8">
        <v>32907</v>
      </c>
      <c r="AS2190" s="8" t="s">
        <v>320</v>
      </c>
      <c r="AU2190" s="8"/>
      <c r="AV2190" s="79"/>
      <c r="AZ2190" s="8" t="s">
        <v>215</v>
      </c>
      <c r="BA2190" s="8"/>
      <c r="BB2190" s="8">
        <v>48111850</v>
      </c>
      <c r="BC2190" s="8"/>
      <c r="BG2190" s="8" t="s">
        <v>1457</v>
      </c>
      <c r="BH2190" s="8" t="s">
        <v>350</v>
      </c>
      <c r="BK2190" s="8" t="s">
        <v>968</v>
      </c>
      <c r="BN2190" s="8" t="s">
        <v>1218</v>
      </c>
      <c r="BO2190" s="8" t="s">
        <v>686</v>
      </c>
      <c r="BP2190" s="8" t="s">
        <v>977</v>
      </c>
      <c r="BR2190" s="8"/>
      <c r="BT2190" s="8" t="s">
        <v>982</v>
      </c>
      <c r="BX2190" s="8" t="s">
        <v>307</v>
      </c>
      <c r="BY2190" s="8"/>
      <c r="BZ2190" s="8"/>
      <c r="CA2190" s="8" t="s">
        <v>984</v>
      </c>
      <c r="CE2190" s="8" t="s">
        <v>1292</v>
      </c>
      <c r="CI2190" s="8" t="s">
        <v>489</v>
      </c>
      <c r="CM2190" s="8" t="s">
        <v>537</v>
      </c>
      <c r="CN2190" s="8">
        <v>204</v>
      </c>
      <c r="CT2190" s="8" t="s">
        <v>578</v>
      </c>
      <c r="DB2190" s="8" t="s">
        <v>1382</v>
      </c>
      <c r="DC2190" s="79"/>
    </row>
    <row r="2191" spans="1:122" x14ac:dyDescent="0.25">
      <c r="A2191" s="73" t="s">
        <v>136</v>
      </c>
      <c r="B2191" s="73" t="s">
        <v>136</v>
      </c>
      <c r="F2191" s="8">
        <v>406</v>
      </c>
      <c r="I2191" s="8">
        <v>1693</v>
      </c>
      <c r="N2191" s="8"/>
      <c r="P2191" s="8" t="s">
        <v>736</v>
      </c>
      <c r="U2191" s="8" t="s">
        <v>1080</v>
      </c>
      <c r="X2191" s="8" t="s">
        <v>1097</v>
      </c>
      <c r="Y2191" s="8" t="s">
        <v>1101</v>
      </c>
      <c r="Z2191" s="8">
        <v>4000122</v>
      </c>
      <c r="AB2191" s="8"/>
      <c r="AC2191" s="8"/>
      <c r="AD2191" s="8"/>
      <c r="AE2191" s="8"/>
      <c r="AF2191" s="8"/>
      <c r="AG2191" s="8" t="s">
        <v>940</v>
      </c>
      <c r="AJ2191" s="8"/>
      <c r="AL2191" s="8" t="s">
        <v>1443</v>
      </c>
      <c r="AO2191" s="8" t="s">
        <v>1138</v>
      </c>
      <c r="AP2191" s="79"/>
      <c r="AR2191" s="8">
        <v>44131</v>
      </c>
      <c r="AS2191" s="8" t="s">
        <v>321</v>
      </c>
      <c r="AU2191" s="8"/>
      <c r="AV2191" s="79"/>
      <c r="AZ2191" s="8" t="s">
        <v>216</v>
      </c>
      <c r="BA2191" s="8"/>
      <c r="BB2191" s="8">
        <v>48221501</v>
      </c>
      <c r="BC2191" s="8"/>
      <c r="BG2191" s="8" t="s">
        <v>1182</v>
      </c>
      <c r="BH2191" s="8" t="s">
        <v>351</v>
      </c>
      <c r="BK2191" s="8" t="s">
        <v>1202</v>
      </c>
      <c r="BN2191" s="8" t="s">
        <v>1219</v>
      </c>
      <c r="BO2191" s="8" t="s">
        <v>687</v>
      </c>
      <c r="BP2191" s="8" t="s">
        <v>1265</v>
      </c>
      <c r="BR2191" s="8"/>
      <c r="BT2191" s="8" t="s">
        <v>437</v>
      </c>
      <c r="BX2191" s="8" t="s">
        <v>308</v>
      </c>
      <c r="BY2191" s="8"/>
      <c r="BZ2191" s="8"/>
      <c r="CA2191" s="8" t="s">
        <v>829</v>
      </c>
      <c r="CE2191" s="8" t="s">
        <v>466</v>
      </c>
      <c r="CI2191" s="8" t="s">
        <v>490</v>
      </c>
      <c r="CM2191" s="8" t="s">
        <v>538</v>
      </c>
      <c r="CN2191" s="8">
        <v>205</v>
      </c>
      <c r="CT2191" s="8" t="s">
        <v>579</v>
      </c>
      <c r="DB2191" s="8" t="s">
        <v>1383</v>
      </c>
      <c r="DC2191" s="79"/>
    </row>
    <row r="2192" spans="1:122" x14ac:dyDescent="0.25">
      <c r="A2192" s="73" t="s">
        <v>1014</v>
      </c>
      <c r="B2192" s="73" t="s">
        <v>1014</v>
      </c>
      <c r="F2192" s="8">
        <v>440</v>
      </c>
      <c r="I2192" s="8">
        <v>192</v>
      </c>
      <c r="N2192" s="8"/>
      <c r="P2192" s="8" t="s">
        <v>737</v>
      </c>
      <c r="U2192" s="8" t="s">
        <v>57</v>
      </c>
      <c r="Y2192" s="8" t="s">
        <v>185</v>
      </c>
      <c r="Z2192" s="8">
        <v>4000156</v>
      </c>
      <c r="AB2192" s="8"/>
      <c r="AC2192" s="8"/>
      <c r="AD2192" s="8"/>
      <c r="AE2192" s="8"/>
      <c r="AF2192" s="8"/>
      <c r="AG2192" s="8" t="s">
        <v>941</v>
      </c>
      <c r="AL2192" s="8">
        <v>46400</v>
      </c>
      <c r="AO2192" s="8" t="s">
        <v>1139</v>
      </c>
      <c r="AP2192" s="79"/>
      <c r="AR2192" s="8">
        <v>44133</v>
      </c>
      <c r="AS2192" s="8" t="s">
        <v>322</v>
      </c>
      <c r="AU2192" s="8"/>
      <c r="AV2192" s="79"/>
      <c r="AZ2192" s="8" t="s">
        <v>217</v>
      </c>
      <c r="BA2192" s="8"/>
      <c r="BB2192" s="8">
        <v>48224195</v>
      </c>
      <c r="BC2192" s="8"/>
      <c r="BG2192" s="8" t="s">
        <v>1183</v>
      </c>
      <c r="BH2192" s="8" t="s">
        <v>352</v>
      </c>
      <c r="BK2192" s="8"/>
      <c r="BN2192" s="8" t="s">
        <v>366</v>
      </c>
      <c r="BO2192" s="8" t="s">
        <v>74</v>
      </c>
      <c r="BP2192" s="8" t="s">
        <v>978</v>
      </c>
      <c r="BT2192" s="8" t="s">
        <v>1277</v>
      </c>
      <c r="BX2192" s="8" t="s">
        <v>309</v>
      </c>
      <c r="BY2192" s="8"/>
      <c r="BZ2192" s="8"/>
      <c r="CA2192" s="8" t="s">
        <v>985</v>
      </c>
      <c r="CE2192" s="8" t="s">
        <v>467</v>
      </c>
      <c r="CI2192" s="8" t="s">
        <v>491</v>
      </c>
      <c r="CM2192" s="8" t="s">
        <v>539</v>
      </c>
      <c r="CN2192" s="8">
        <v>242</v>
      </c>
      <c r="CT2192" s="8" t="s">
        <v>580</v>
      </c>
      <c r="DB2192" s="8" t="s">
        <v>1384</v>
      </c>
      <c r="DC2192" s="79"/>
    </row>
    <row r="2193" spans="1:107" x14ac:dyDescent="0.25">
      <c r="A2193" s="76" t="s">
        <v>1015</v>
      </c>
      <c r="B2193" s="77" t="s">
        <v>1015</v>
      </c>
      <c r="F2193" s="8">
        <v>441</v>
      </c>
      <c r="I2193" s="8">
        <v>2110</v>
      </c>
      <c r="P2193" s="8" t="s">
        <v>928</v>
      </c>
      <c r="U2193" s="8" t="s">
        <v>145</v>
      </c>
      <c r="Y2193" s="8" t="s">
        <v>186</v>
      </c>
      <c r="Z2193" s="8">
        <v>4000157</v>
      </c>
      <c r="AB2193" s="8"/>
      <c r="AC2193" s="8"/>
      <c r="AD2193" s="8"/>
      <c r="AE2193" s="8"/>
      <c r="AF2193" s="8"/>
      <c r="AG2193" s="8" t="s">
        <v>942</v>
      </c>
      <c r="AL2193" s="8">
        <v>837221</v>
      </c>
      <c r="AO2193" s="8" t="s">
        <v>1140</v>
      </c>
      <c r="AP2193" s="79"/>
      <c r="AR2193" s="8">
        <v>44218</v>
      </c>
      <c r="AS2193" s="8" t="s">
        <v>323</v>
      </c>
      <c r="AU2193" s="8"/>
      <c r="AV2193" s="79"/>
      <c r="AZ2193" s="8" t="s">
        <v>1445</v>
      </c>
      <c r="BA2193" s="8"/>
      <c r="BB2193" s="8">
        <v>48224197</v>
      </c>
      <c r="BC2193" s="8"/>
      <c r="BG2193" s="8" t="s">
        <v>1184</v>
      </c>
      <c r="BH2193" s="8" t="s">
        <v>353</v>
      </c>
      <c r="BK2193" s="8"/>
      <c r="BN2193" s="8" t="s">
        <v>1220</v>
      </c>
      <c r="BO2193" s="8" t="s">
        <v>75</v>
      </c>
      <c r="BP2193" s="8" t="s">
        <v>1266</v>
      </c>
      <c r="BT2193" s="8" t="s">
        <v>877</v>
      </c>
      <c r="BX2193" s="8" t="s">
        <v>310</v>
      </c>
      <c r="CA2193" s="8" t="s">
        <v>830</v>
      </c>
      <c r="CE2193" s="8" t="s">
        <v>991</v>
      </c>
      <c r="CI2193" s="8" t="s">
        <v>702</v>
      </c>
      <c r="CM2193" s="8" t="s">
        <v>1311</v>
      </c>
      <c r="CN2193" s="8">
        <v>243</v>
      </c>
      <c r="CT2193" s="8" t="s">
        <v>581</v>
      </c>
      <c r="DB2193" s="8" t="s">
        <v>1385</v>
      </c>
      <c r="DC2193" s="79"/>
    </row>
    <row r="2194" spans="1:107" x14ac:dyDescent="0.25">
      <c r="A2194" s="73" t="s">
        <v>946</v>
      </c>
      <c r="B2194" s="73" t="s">
        <v>946</v>
      </c>
      <c r="F2194" s="8">
        <v>442</v>
      </c>
      <c r="I2194" s="8">
        <v>2120</v>
      </c>
      <c r="P2194" s="8" t="s">
        <v>738</v>
      </c>
      <c r="U2194" s="8" t="s">
        <v>146</v>
      </c>
      <c r="Y2194" s="8" t="s">
        <v>950</v>
      </c>
      <c r="Z2194" s="8">
        <v>4000162</v>
      </c>
      <c r="AB2194" s="8"/>
      <c r="AC2194" s="8"/>
      <c r="AD2194" s="8"/>
      <c r="AE2194" s="8"/>
      <c r="AF2194" s="8"/>
      <c r="AG2194" s="8" t="s">
        <v>943</v>
      </c>
      <c r="AL2194" s="8"/>
      <c r="AO2194" s="8" t="s">
        <v>1141</v>
      </c>
      <c r="AP2194" s="79"/>
      <c r="AR2194" s="8">
        <v>44219</v>
      </c>
      <c r="AS2194" s="8" t="s">
        <v>324</v>
      </c>
      <c r="AZ2194" s="8" t="s">
        <v>1446</v>
      </c>
      <c r="BA2194" s="8"/>
      <c r="BB2194" s="8">
        <v>48228902</v>
      </c>
      <c r="BC2194" s="8"/>
      <c r="BG2194" s="8" t="s">
        <v>1458</v>
      </c>
      <c r="BH2194" s="8" t="s">
        <v>1190</v>
      </c>
      <c r="BK2194" s="8"/>
      <c r="BN2194" s="8" t="s">
        <v>1221</v>
      </c>
      <c r="BO2194" s="8" t="s">
        <v>688</v>
      </c>
      <c r="BP2194" s="8" t="s">
        <v>1267</v>
      </c>
      <c r="BT2194" s="8" t="s">
        <v>1278</v>
      </c>
      <c r="BX2194" s="8"/>
      <c r="CA2194" s="8" t="s">
        <v>831</v>
      </c>
      <c r="CE2194" s="8" t="s">
        <v>1293</v>
      </c>
      <c r="CI2194" s="8" t="s">
        <v>492</v>
      </c>
      <c r="CM2194" s="8" t="s">
        <v>540</v>
      </c>
      <c r="CN2194" s="8">
        <v>244</v>
      </c>
      <c r="CT2194" s="8" t="s">
        <v>582</v>
      </c>
      <c r="DB2194" s="8" t="s">
        <v>1386</v>
      </c>
      <c r="DC2194" s="79"/>
    </row>
    <row r="2195" spans="1:107" x14ac:dyDescent="0.25">
      <c r="A2195" s="73" t="s">
        <v>714</v>
      </c>
      <c r="B2195" s="73" t="s">
        <v>714</v>
      </c>
      <c r="F2195" s="8">
        <v>443</v>
      </c>
      <c r="I2195" s="8" t="s">
        <v>1042</v>
      </c>
      <c r="P2195" s="8" t="s">
        <v>929</v>
      </c>
      <c r="U2195" s="8" t="s">
        <v>58</v>
      </c>
      <c r="Y2195" s="8" t="s">
        <v>187</v>
      </c>
      <c r="Z2195" s="8">
        <v>4000176</v>
      </c>
      <c r="AC2195" s="8"/>
      <c r="AD2195" s="8"/>
      <c r="AE2195" s="8"/>
      <c r="AF2195" s="8"/>
      <c r="AG2195" s="8" t="s">
        <v>1124</v>
      </c>
      <c r="AO2195" s="8" t="s">
        <v>1142</v>
      </c>
      <c r="AP2195" s="79"/>
      <c r="AR2195" s="8">
        <v>56040</v>
      </c>
      <c r="AS2195" s="8" t="s">
        <v>325</v>
      </c>
      <c r="AZ2195" s="8"/>
      <c r="BA2195" s="8"/>
      <c r="BB2195" s="8">
        <v>48228903</v>
      </c>
      <c r="BC2195" s="8"/>
      <c r="BG2195" s="8" t="s">
        <v>1185</v>
      </c>
      <c r="BH2195" s="8" t="s">
        <v>683</v>
      </c>
      <c r="BK2195" s="8"/>
      <c r="BN2195" s="8" t="s">
        <v>367</v>
      </c>
      <c r="BO2195" s="8" t="s">
        <v>689</v>
      </c>
      <c r="BP2195" s="8" t="s">
        <v>901</v>
      </c>
      <c r="BT2195" s="8" t="s">
        <v>1279</v>
      </c>
      <c r="BX2195" s="8"/>
      <c r="CA2195" s="8" t="s">
        <v>832</v>
      </c>
      <c r="CE2195" s="8" t="s">
        <v>468</v>
      </c>
      <c r="CI2195" s="8" t="s">
        <v>703</v>
      </c>
      <c r="CM2195" s="8" t="s">
        <v>541</v>
      </c>
      <c r="CN2195" s="8">
        <v>245</v>
      </c>
      <c r="CT2195" s="8" t="s">
        <v>583</v>
      </c>
      <c r="DB2195" s="8" t="s">
        <v>1387</v>
      </c>
      <c r="DC2195" s="79"/>
    </row>
    <row r="2196" spans="1:107" x14ac:dyDescent="0.25">
      <c r="A2196" s="73" t="s">
        <v>715</v>
      </c>
      <c r="B2196" s="73" t="s">
        <v>715</v>
      </c>
      <c r="F2196" s="8">
        <v>444</v>
      </c>
      <c r="I2196" s="8" t="s">
        <v>1043</v>
      </c>
      <c r="P2196" s="8" t="s">
        <v>930</v>
      </c>
      <c r="U2196" s="8" t="s">
        <v>147</v>
      </c>
      <c r="Y2196" s="8" t="s">
        <v>951</v>
      </c>
      <c r="Z2196" s="8">
        <v>4000367</v>
      </c>
      <c r="AC2196" s="8"/>
      <c r="AD2196" s="79"/>
      <c r="AF2196" s="8"/>
      <c r="AG2196" s="8" t="s">
        <v>1125</v>
      </c>
      <c r="AO2196" s="8" t="s">
        <v>265</v>
      </c>
      <c r="AP2196" s="79"/>
      <c r="AR2196" s="8">
        <v>56049</v>
      </c>
      <c r="AS2196" s="8"/>
      <c r="AZ2196" s="8"/>
      <c r="BA2196" s="8"/>
      <c r="BB2196" s="8">
        <v>48228932</v>
      </c>
      <c r="BC2196" s="8"/>
      <c r="BG2196" s="8" t="s">
        <v>1186</v>
      </c>
      <c r="BH2196" s="8" t="s">
        <v>1191</v>
      </c>
      <c r="BK2196" s="8"/>
      <c r="BN2196" s="8" t="s">
        <v>1222</v>
      </c>
      <c r="BO2196" s="8" t="s">
        <v>396</v>
      </c>
      <c r="BP2196" s="8" t="s">
        <v>1268</v>
      </c>
      <c r="BT2196" s="8" t="s">
        <v>438</v>
      </c>
      <c r="BX2196" s="8"/>
      <c r="CA2196" s="8" t="s">
        <v>833</v>
      </c>
      <c r="CE2196" s="8" t="s">
        <v>1294</v>
      </c>
      <c r="CI2196" s="8" t="s">
        <v>493</v>
      </c>
      <c r="CM2196" s="8" t="s">
        <v>1312</v>
      </c>
      <c r="CN2196" s="8" t="s">
        <v>1321</v>
      </c>
      <c r="CT2196" s="8" t="s">
        <v>584</v>
      </c>
      <c r="DB2196" s="8" t="s">
        <v>1388</v>
      </c>
      <c r="DC2196" s="79"/>
    </row>
    <row r="2197" spans="1:107" x14ac:dyDescent="0.25">
      <c r="A2197" s="73" t="s">
        <v>139</v>
      </c>
      <c r="B2197" s="73" t="s">
        <v>139</v>
      </c>
      <c r="F2197" s="8">
        <v>445</v>
      </c>
      <c r="I2197" s="8" t="s">
        <v>1044</v>
      </c>
      <c r="P2197" s="8" t="s">
        <v>931</v>
      </c>
      <c r="U2197" s="8" t="s">
        <v>148</v>
      </c>
      <c r="Y2197" s="8" t="s">
        <v>188</v>
      </c>
      <c r="Z2197" s="8">
        <v>4000430</v>
      </c>
      <c r="AC2197" s="8"/>
      <c r="AD2197" s="79"/>
      <c r="AF2197" s="8"/>
      <c r="AG2197" s="8" t="s">
        <v>944</v>
      </c>
      <c r="AO2197" s="8" t="s">
        <v>266</v>
      </c>
      <c r="AP2197" s="79"/>
      <c r="AR2197" s="8">
        <v>56064</v>
      </c>
      <c r="AS2197" s="8"/>
      <c r="AZ2197" s="8"/>
      <c r="BA2197" s="8"/>
      <c r="BB2197" s="8">
        <v>48228933</v>
      </c>
      <c r="BC2197" s="8"/>
      <c r="BG2197" s="8" t="s">
        <v>804</v>
      </c>
      <c r="BH2197" s="8" t="s">
        <v>1192</v>
      </c>
      <c r="BK2197" s="8"/>
      <c r="BN2197" s="8" t="s">
        <v>1223</v>
      </c>
      <c r="BO2197" s="8" t="s">
        <v>1460</v>
      </c>
      <c r="BP2197" s="8" t="s">
        <v>1269</v>
      </c>
      <c r="BT2197" s="8" t="s">
        <v>439</v>
      </c>
      <c r="BX2197" s="8"/>
      <c r="CA2197" s="8" t="s">
        <v>1284</v>
      </c>
      <c r="CE2197" s="8" t="s">
        <v>1295</v>
      </c>
      <c r="CI2197" s="8" t="s">
        <v>908</v>
      </c>
      <c r="CM2197" s="8" t="s">
        <v>996</v>
      </c>
      <c r="CN2197" s="8">
        <v>272</v>
      </c>
      <c r="CT2197" s="8" t="s">
        <v>585</v>
      </c>
      <c r="DB2197" s="8" t="s">
        <v>1389</v>
      </c>
      <c r="DC2197" s="79"/>
    </row>
    <row r="2198" spans="1:107" x14ac:dyDescent="0.25">
      <c r="A2198" s="73" t="s">
        <v>22</v>
      </c>
      <c r="B2198" s="73" t="s">
        <v>22</v>
      </c>
      <c r="F2198" s="8">
        <v>451</v>
      </c>
      <c r="I2198" s="8" t="s">
        <v>1045</v>
      </c>
      <c r="P2198" s="8" t="s">
        <v>932</v>
      </c>
      <c r="U2198" s="8" t="s">
        <v>59</v>
      </c>
      <c r="Y2198" s="8" t="s">
        <v>952</v>
      </c>
      <c r="Z2198" s="8" t="s">
        <v>203</v>
      </c>
      <c r="AC2198" s="8"/>
      <c r="AD2198" s="79"/>
      <c r="AF2198" s="8"/>
      <c r="AG2198" s="8" t="s">
        <v>945</v>
      </c>
      <c r="AO2198" s="8" t="s">
        <v>1143</v>
      </c>
      <c r="AP2198" s="79"/>
      <c r="AR2198" s="8">
        <v>56383</v>
      </c>
      <c r="AS2198" s="8"/>
      <c r="BA2198" s="8"/>
      <c r="BB2198" s="8">
        <v>48324532</v>
      </c>
      <c r="BG2198" s="8" t="s">
        <v>805</v>
      </c>
      <c r="BH2198" s="8" t="s">
        <v>1193</v>
      </c>
      <c r="BN2198" s="8" t="s">
        <v>368</v>
      </c>
      <c r="BO2198" s="8" t="s">
        <v>397</v>
      </c>
      <c r="BP2198" s="8" t="s">
        <v>1270</v>
      </c>
      <c r="BT2198" s="8" t="s">
        <v>440</v>
      </c>
      <c r="BX2198" s="8"/>
      <c r="CA2198" s="8" t="s">
        <v>986</v>
      </c>
      <c r="CE2198" s="8" t="s">
        <v>469</v>
      </c>
      <c r="CI2198" s="8" t="s">
        <v>494</v>
      </c>
      <c r="CM2198" s="8" t="s">
        <v>542</v>
      </c>
      <c r="CN2198" s="8">
        <v>282</v>
      </c>
      <c r="CT2198" s="8" t="s">
        <v>586</v>
      </c>
      <c r="DB2198" s="8" t="s">
        <v>1390</v>
      </c>
      <c r="DC2198" s="79"/>
    </row>
    <row r="2199" spans="1:107" x14ac:dyDescent="0.25">
      <c r="A2199" s="73" t="s">
        <v>180</v>
      </c>
      <c r="B2199" s="73" t="s">
        <v>180</v>
      </c>
      <c r="F2199" s="8">
        <v>452</v>
      </c>
      <c r="I2199" s="8" t="s">
        <v>1046</v>
      </c>
      <c r="P2199" s="8" t="s">
        <v>933</v>
      </c>
      <c r="U2199" s="8" t="s">
        <v>149</v>
      </c>
      <c r="Y2199" s="8" t="s">
        <v>953</v>
      </c>
      <c r="Z2199" s="8" t="s">
        <v>204</v>
      </c>
      <c r="AC2199" s="8"/>
      <c r="AD2199" s="79"/>
      <c r="AF2199" s="8"/>
      <c r="AG2199" s="8" t="s">
        <v>229</v>
      </c>
      <c r="AO2199" s="8" t="s">
        <v>1144</v>
      </c>
      <c r="AP2199" s="79"/>
      <c r="AR2199" s="8">
        <v>56403</v>
      </c>
      <c r="AS2199" s="8"/>
      <c r="BB2199" s="8">
        <v>48390529</v>
      </c>
      <c r="BG2199" s="8" t="s">
        <v>1459</v>
      </c>
      <c r="BH2199" s="8" t="s">
        <v>1194</v>
      </c>
      <c r="BN2199" s="8" t="s">
        <v>1224</v>
      </c>
      <c r="BO2199" s="8" t="s">
        <v>76</v>
      </c>
      <c r="BP2199" s="8" t="s">
        <v>756</v>
      </c>
      <c r="BT2199" s="8"/>
      <c r="BX2199" s="8"/>
      <c r="CA2199" s="8" t="s">
        <v>987</v>
      </c>
      <c r="CE2199" s="8" t="s">
        <v>470</v>
      </c>
      <c r="CI2199" s="8" t="s">
        <v>495</v>
      </c>
      <c r="CM2199" s="8" t="s">
        <v>543</v>
      </c>
      <c r="CN2199" s="8">
        <v>283</v>
      </c>
      <c r="CT2199" s="8" t="s">
        <v>587</v>
      </c>
      <c r="DB2199" s="8" t="s">
        <v>1391</v>
      </c>
      <c r="DC2199" s="79"/>
    </row>
    <row r="2200" spans="1:107" x14ac:dyDescent="0.25">
      <c r="A2200" s="73" t="s">
        <v>741</v>
      </c>
      <c r="B2200" s="73" t="s">
        <v>741</v>
      </c>
      <c r="F2200" s="8">
        <v>455</v>
      </c>
      <c r="I2200" s="8" t="s">
        <v>1047</v>
      </c>
      <c r="P2200" s="8" t="s">
        <v>934</v>
      </c>
      <c r="U2200" s="8" t="s">
        <v>60</v>
      </c>
      <c r="Y2200" s="8" t="s">
        <v>954</v>
      </c>
      <c r="Z2200" s="8">
        <v>4000662</v>
      </c>
      <c r="AC2200" s="8"/>
      <c r="AD2200" s="79"/>
      <c r="AF2200" s="8"/>
      <c r="AG2200" s="8" t="s">
        <v>959</v>
      </c>
      <c r="AO2200" s="8" t="s">
        <v>43</v>
      </c>
      <c r="AP2200" s="79"/>
      <c r="AR2200" s="8">
        <v>63225</v>
      </c>
      <c r="AS2200" s="8"/>
      <c r="BB2200" s="8">
        <v>48390572</v>
      </c>
      <c r="BH2200" s="8"/>
      <c r="BN2200" s="8" t="s">
        <v>1225</v>
      </c>
      <c r="BO2200" s="8" t="s">
        <v>398</v>
      </c>
      <c r="BP2200" s="8" t="s">
        <v>757</v>
      </c>
      <c r="BT2200" s="8"/>
      <c r="BX2200" s="8"/>
      <c r="CA2200" s="8" t="s">
        <v>834</v>
      </c>
      <c r="CE2200" s="8" t="s">
        <v>841</v>
      </c>
      <c r="CI2200" s="8" t="s">
        <v>496</v>
      </c>
      <c r="CM2200" s="8" t="s">
        <v>544</v>
      </c>
      <c r="CN2200" s="8">
        <v>284</v>
      </c>
      <c r="CT2200" s="8" t="s">
        <v>588</v>
      </c>
      <c r="DB2200" s="8" t="s">
        <v>1392</v>
      </c>
      <c r="DC2200" s="79"/>
    </row>
    <row r="2201" spans="1:107" x14ac:dyDescent="0.25">
      <c r="A2201" s="73" t="s">
        <v>182</v>
      </c>
      <c r="B2201" s="73" t="s">
        <v>182</v>
      </c>
      <c r="F2201" s="8">
        <v>502</v>
      </c>
      <c r="I2201" s="8" t="s">
        <v>1048</v>
      </c>
      <c r="P2201" s="8"/>
      <c r="U2201" s="8" t="s">
        <v>740</v>
      </c>
      <c r="Y2201" s="8" t="s">
        <v>742</v>
      </c>
      <c r="Z2201" s="8">
        <v>4005394</v>
      </c>
      <c r="AF2201" s="8"/>
      <c r="AG2201" s="8" t="s">
        <v>230</v>
      </c>
      <c r="AO2201" s="8" t="s">
        <v>267</v>
      </c>
      <c r="AP2201" s="79"/>
      <c r="AR2201" s="8">
        <v>65200</v>
      </c>
      <c r="BB2201" s="8">
        <v>48390609</v>
      </c>
      <c r="BH2201" s="8"/>
      <c r="BN2201" s="8" t="s">
        <v>369</v>
      </c>
      <c r="BO2201" s="8" t="s">
        <v>399</v>
      </c>
      <c r="BP2201" s="8"/>
      <c r="BT2201" s="8"/>
      <c r="BX2201" s="8"/>
      <c r="CA2201" s="8" t="s">
        <v>835</v>
      </c>
      <c r="CE2201" s="8" t="s">
        <v>1465</v>
      </c>
      <c r="CI2201" s="8" t="s">
        <v>497</v>
      </c>
      <c r="CM2201" s="8" t="s">
        <v>545</v>
      </c>
      <c r="CN2201" s="8">
        <v>286</v>
      </c>
      <c r="CT2201" s="8" t="s">
        <v>589</v>
      </c>
      <c r="DB2201" s="8" t="s">
        <v>1393</v>
      </c>
      <c r="DC2201" s="79"/>
    </row>
    <row r="2202" spans="1:107" x14ac:dyDescent="0.25">
      <c r="A2202" s="73" t="s">
        <v>14</v>
      </c>
      <c r="B2202" s="73" t="s">
        <v>14</v>
      </c>
      <c r="F2202" s="8">
        <v>504</v>
      </c>
      <c r="I2202" s="8" t="s">
        <v>916</v>
      </c>
      <c r="P2202" s="8"/>
      <c r="U2202" s="8" t="s">
        <v>61</v>
      </c>
      <c r="Y2202" s="8" t="s">
        <v>1102</v>
      </c>
      <c r="Z2202" s="8"/>
      <c r="AF2202" s="8"/>
      <c r="AG2202" s="8" t="s">
        <v>1126</v>
      </c>
      <c r="AO2202" s="8" t="s">
        <v>873</v>
      </c>
      <c r="AP2202" s="79"/>
      <c r="AR2202" s="8">
        <v>666</v>
      </c>
      <c r="BB2202" s="8">
        <v>48892771</v>
      </c>
      <c r="BH2202" s="8"/>
      <c r="BN2202" s="8" t="s">
        <v>1226</v>
      </c>
      <c r="BO2202" s="8" t="s">
        <v>400</v>
      </c>
      <c r="BP2202" s="8"/>
      <c r="BT2202" s="8"/>
      <c r="BX2202" s="8"/>
      <c r="CA2202" s="8" t="s">
        <v>700</v>
      </c>
      <c r="CE2202" s="8" t="s">
        <v>1296</v>
      </c>
      <c r="CI2202" s="8" t="s">
        <v>498</v>
      </c>
      <c r="CM2202" s="8" t="s">
        <v>546</v>
      </c>
      <c r="CN2202" s="8">
        <v>332</v>
      </c>
      <c r="CT2202" s="8" t="s">
        <v>590</v>
      </c>
      <c r="DB2202" s="8" t="s">
        <v>1007</v>
      </c>
      <c r="DC2202" s="79"/>
    </row>
    <row r="2203" spans="1:107" x14ac:dyDescent="0.25">
      <c r="A2203" s="73" t="s">
        <v>200</v>
      </c>
      <c r="B2203" s="73" t="s">
        <v>200</v>
      </c>
      <c r="F2203" s="8">
        <v>522</v>
      </c>
      <c r="I2203" s="8" t="s">
        <v>917</v>
      </c>
      <c r="P2203" s="8"/>
      <c r="U2203" s="8" t="s">
        <v>62</v>
      </c>
      <c r="Y2203" s="8" t="s">
        <v>189</v>
      </c>
      <c r="Z2203" s="8"/>
      <c r="AF2203" s="8"/>
      <c r="AG2203" s="8" t="s">
        <v>231</v>
      </c>
      <c r="AO2203" s="8" t="s">
        <v>268</v>
      </c>
      <c r="AP2203" s="79"/>
      <c r="AR2203" s="8">
        <v>70579</v>
      </c>
      <c r="BB2203" s="8">
        <v>48892772</v>
      </c>
      <c r="BH2203" s="8"/>
      <c r="BN2203" s="8" t="s">
        <v>1227</v>
      </c>
      <c r="BO2203" s="8" t="s">
        <v>401</v>
      </c>
      <c r="BP2203" s="8"/>
      <c r="BT2203" s="8"/>
      <c r="BX2203" s="8"/>
      <c r="CA2203" s="8" t="s">
        <v>836</v>
      </c>
      <c r="CE2203" s="8" t="s">
        <v>842</v>
      </c>
      <c r="CI2203" s="8" t="s">
        <v>499</v>
      </c>
      <c r="CM2203" s="8" t="s">
        <v>547</v>
      </c>
      <c r="CN2203" s="8">
        <v>333</v>
      </c>
      <c r="CT2203" s="8" t="s">
        <v>591</v>
      </c>
      <c r="DB2203" s="8" t="s">
        <v>1394</v>
      </c>
      <c r="DC2203" s="79"/>
    </row>
    <row r="2204" spans="1:107" x14ac:dyDescent="0.25">
      <c r="A2204" s="73" t="s">
        <v>898</v>
      </c>
      <c r="B2204" s="73" t="s">
        <v>898</v>
      </c>
      <c r="F2204" s="8" t="s">
        <v>87</v>
      </c>
      <c r="I2204" s="8" t="s">
        <v>918</v>
      </c>
      <c r="P2204" s="8"/>
      <c r="U2204" s="8" t="s">
        <v>63</v>
      </c>
      <c r="Y2204" s="8" t="s">
        <v>743</v>
      </c>
      <c r="Z2204" s="8"/>
      <c r="AF2204" s="8"/>
      <c r="AG2204" s="8" t="s">
        <v>749</v>
      </c>
      <c r="AO2204" s="8" t="s">
        <v>269</v>
      </c>
      <c r="AP2204" s="79"/>
      <c r="AR2204" s="8">
        <v>86602</v>
      </c>
      <c r="BB2204" s="8">
        <v>48894611</v>
      </c>
      <c r="BH2204" s="8"/>
      <c r="BN2204" s="8" t="s">
        <v>370</v>
      </c>
      <c r="BO2204" s="8" t="s">
        <v>402</v>
      </c>
      <c r="BP2204" s="8"/>
      <c r="BT2204" s="8"/>
      <c r="BX2204" s="8"/>
      <c r="CA2204" s="8" t="s">
        <v>837</v>
      </c>
      <c r="CE2204" s="8" t="s">
        <v>701</v>
      </c>
      <c r="CI2204" s="8" t="s">
        <v>500</v>
      </c>
      <c r="CM2204" s="8" t="s">
        <v>548</v>
      </c>
      <c r="CN2204" s="8">
        <v>382</v>
      </c>
      <c r="CT2204" s="8" t="s">
        <v>592</v>
      </c>
      <c r="DB2204" s="8" t="s">
        <v>1395</v>
      </c>
      <c r="DC2204" s="79"/>
    </row>
    <row r="2205" spans="1:107" x14ac:dyDescent="0.25">
      <c r="A2205" s="73" t="s">
        <v>746</v>
      </c>
      <c r="B2205" s="73" t="s">
        <v>746</v>
      </c>
      <c r="F2205" s="8" t="s">
        <v>88</v>
      </c>
      <c r="I2205" s="8" t="s">
        <v>919</v>
      </c>
      <c r="U2205" s="8" t="s">
        <v>64</v>
      </c>
      <c r="Y2205" s="8" t="s">
        <v>15</v>
      </c>
      <c r="Z2205" s="8"/>
      <c r="AF2205" s="8"/>
      <c r="AG2205" s="8"/>
      <c r="AO2205" s="8" t="s">
        <v>270</v>
      </c>
      <c r="AP2205" s="79"/>
      <c r="AR2205" s="8">
        <v>9216</v>
      </c>
      <c r="BB2205" s="8">
        <v>48899212</v>
      </c>
      <c r="BH2205" s="8"/>
      <c r="BN2205" s="8" t="s">
        <v>1228</v>
      </c>
      <c r="BO2205" s="8" t="s">
        <v>403</v>
      </c>
      <c r="BP2205" s="8"/>
      <c r="BX2205" s="8"/>
      <c r="CA2205" s="8" t="s">
        <v>838</v>
      </c>
      <c r="CE2205" s="8" t="s">
        <v>1297</v>
      </c>
      <c r="CI2205" s="8" t="s">
        <v>501</v>
      </c>
      <c r="CM2205" s="8" t="s">
        <v>549</v>
      </c>
      <c r="CN2205" s="8">
        <v>412</v>
      </c>
      <c r="CT2205" s="8" t="s">
        <v>44</v>
      </c>
      <c r="DB2205" s="8" t="s">
        <v>1396</v>
      </c>
      <c r="DC2205" s="79"/>
    </row>
    <row r="2206" spans="1:107" x14ac:dyDescent="0.25">
      <c r="A2206" s="73" t="s">
        <v>54</v>
      </c>
      <c r="B2206" s="73" t="s">
        <v>54</v>
      </c>
      <c r="F2206" s="8">
        <v>801</v>
      </c>
      <c r="I2206" s="8" t="s">
        <v>920</v>
      </c>
      <c r="U2206" s="8" t="s">
        <v>26</v>
      </c>
      <c r="Y2206" s="8" t="s">
        <v>190</v>
      </c>
      <c r="Z2206" s="8"/>
      <c r="AG2206" s="8"/>
      <c r="AO2206" s="8" t="s">
        <v>271</v>
      </c>
      <c r="AP2206" s="79"/>
      <c r="AR2206" s="8">
        <v>9230</v>
      </c>
      <c r="BB2206" s="8">
        <v>49224095</v>
      </c>
      <c r="BH2206" s="8"/>
      <c r="BN2206" s="8" t="s">
        <v>1229</v>
      </c>
      <c r="BO2206" s="8" t="s">
        <v>404</v>
      </c>
      <c r="BP2206" s="8"/>
      <c r="BX2206" s="8"/>
      <c r="CA2206" s="8" t="s">
        <v>839</v>
      </c>
      <c r="CE2206" s="8" t="s">
        <v>471</v>
      </c>
      <c r="CI2206" s="8" t="s">
        <v>502</v>
      </c>
      <c r="CM2206" s="8" t="s">
        <v>550</v>
      </c>
      <c r="CN2206" s="8">
        <v>413</v>
      </c>
      <c r="CT2206" s="8" t="s">
        <v>710</v>
      </c>
      <c r="DB2206" s="8" t="s">
        <v>1397</v>
      </c>
      <c r="DC2206" s="79"/>
    </row>
    <row r="2207" spans="1:107" x14ac:dyDescent="0.25">
      <c r="A2207" s="78" t="s">
        <v>1016</v>
      </c>
      <c r="B2207" s="78" t="s">
        <v>1016</v>
      </c>
      <c r="F2207" s="8">
        <v>803</v>
      </c>
      <c r="I2207" s="8" t="s">
        <v>921</v>
      </c>
      <c r="U2207" s="8" t="s">
        <v>27</v>
      </c>
      <c r="Y2207" s="8" t="s">
        <v>1009</v>
      </c>
      <c r="Z2207" s="8"/>
      <c r="AG2207" s="8"/>
      <c r="AO2207" s="8" t="s">
        <v>272</v>
      </c>
      <c r="AP2207" s="79"/>
      <c r="AR2207" s="8" t="s">
        <v>163</v>
      </c>
      <c r="BB2207" s="8">
        <v>49565620</v>
      </c>
      <c r="BH2207" s="8"/>
      <c r="BN2207" s="8" t="s">
        <v>371</v>
      </c>
      <c r="BO2207" s="8" t="s">
        <v>690</v>
      </c>
      <c r="BP2207" s="8"/>
      <c r="BX2207" s="8"/>
      <c r="CA2207" s="8" t="s">
        <v>1285</v>
      </c>
      <c r="CE2207" s="8" t="s">
        <v>1466</v>
      </c>
      <c r="CI2207" s="8" t="s">
        <v>503</v>
      </c>
      <c r="CM2207" s="8" t="s">
        <v>1313</v>
      </c>
      <c r="CN2207" s="8" t="s">
        <v>1322</v>
      </c>
      <c r="CT2207" s="8" t="s">
        <v>1354</v>
      </c>
      <c r="DB2207" s="8" t="s">
        <v>1398</v>
      </c>
      <c r="DC2207" s="79"/>
    </row>
    <row r="2208" spans="1:107" x14ac:dyDescent="0.25">
      <c r="A2208" s="78" t="s">
        <v>1017</v>
      </c>
      <c r="B2208" s="78" t="s">
        <v>1017</v>
      </c>
      <c r="F2208" s="8" t="s">
        <v>89</v>
      </c>
      <c r="I2208" s="8" t="s">
        <v>1049</v>
      </c>
      <c r="U2208" s="8" t="s">
        <v>1081</v>
      </c>
      <c r="Y2208" s="8" t="s">
        <v>191</v>
      </c>
      <c r="Z2208" s="8"/>
      <c r="AG2208" s="8"/>
      <c r="AO2208" s="8" t="s">
        <v>1145</v>
      </c>
      <c r="AP2208" s="79"/>
      <c r="AR2208" s="8" t="s">
        <v>791</v>
      </c>
      <c r="BB2208" s="8">
        <v>49567135</v>
      </c>
      <c r="BH2208" s="8"/>
      <c r="BN2208" s="8" t="s">
        <v>1230</v>
      </c>
      <c r="BO2208" s="8" t="s">
        <v>405</v>
      </c>
      <c r="BP2208" s="8"/>
      <c r="BX2208" s="8"/>
      <c r="CA2208" s="8" t="s">
        <v>840</v>
      </c>
      <c r="CE2208" s="8" t="s">
        <v>472</v>
      </c>
      <c r="CI2208" s="8" t="s">
        <v>504</v>
      </c>
      <c r="CM2208" s="8" t="s">
        <v>705</v>
      </c>
      <c r="CN2208" s="8" t="s">
        <v>1323</v>
      </c>
      <c r="CT2208" s="8" t="s">
        <v>1355</v>
      </c>
      <c r="DB2208" s="8" t="s">
        <v>1399</v>
      </c>
      <c r="DC2208" s="79"/>
    </row>
    <row r="2209" spans="1:107" x14ac:dyDescent="0.25">
      <c r="A2209" s="73" t="s">
        <v>218</v>
      </c>
      <c r="B2209" s="73" t="s">
        <v>218</v>
      </c>
      <c r="F2209" s="8" t="s">
        <v>90</v>
      </c>
      <c r="I2209" s="8" t="s">
        <v>1050</v>
      </c>
      <c r="U2209" s="8" t="s">
        <v>663</v>
      </c>
      <c r="Y2209" s="8" t="s">
        <v>1010</v>
      </c>
      <c r="Z2209" s="8"/>
      <c r="AG2209" s="8"/>
      <c r="AO2209" s="8" t="s">
        <v>1146</v>
      </c>
      <c r="AP2209" s="79"/>
      <c r="AR2209" s="8" t="s">
        <v>1159</v>
      </c>
      <c r="BB2209" s="8">
        <v>49666120</v>
      </c>
      <c r="BH2209" s="8"/>
      <c r="BN2209" s="8" t="s">
        <v>1231</v>
      </c>
      <c r="BO2209" s="8" t="s">
        <v>406</v>
      </c>
      <c r="BP2209" s="8"/>
      <c r="BX2209" s="8"/>
      <c r="CA2209" s="8"/>
      <c r="CE2209" s="8" t="s">
        <v>1467</v>
      </c>
      <c r="CI2209" s="8" t="s">
        <v>505</v>
      </c>
      <c r="CM2209" s="8" t="s">
        <v>1470</v>
      </c>
      <c r="CN2209" s="8">
        <v>454</v>
      </c>
      <c r="CT2209" s="8" t="s">
        <v>593</v>
      </c>
      <c r="DB2209" s="8" t="s">
        <v>1400</v>
      </c>
      <c r="DC2209" s="79"/>
    </row>
    <row r="2210" spans="1:107" x14ac:dyDescent="0.25">
      <c r="A2210" s="73" t="s">
        <v>869</v>
      </c>
      <c r="B2210" s="73" t="s">
        <v>869</v>
      </c>
      <c r="F2210" s="8" t="s">
        <v>91</v>
      </c>
      <c r="I2210" s="8" t="s">
        <v>1051</v>
      </c>
      <c r="U2210" s="8" t="s">
        <v>150</v>
      </c>
      <c r="Y2210" s="8" t="s">
        <v>1103</v>
      </c>
      <c r="Z2210" s="8"/>
      <c r="AG2210" s="8"/>
      <c r="AO2210" s="8" t="s">
        <v>1147</v>
      </c>
      <c r="AP2210" s="79"/>
      <c r="AR2210" s="8" t="s">
        <v>1160</v>
      </c>
      <c r="BB2210" s="8">
        <v>49666155</v>
      </c>
      <c r="BH2210" s="8"/>
      <c r="BN2210" s="8" t="s">
        <v>372</v>
      </c>
      <c r="BO2210" s="8" t="s">
        <v>407</v>
      </c>
      <c r="BP2210" s="8"/>
      <c r="CA2210" s="8"/>
      <c r="CE2210" s="8" t="s">
        <v>473</v>
      </c>
      <c r="CI2210" s="8" t="s">
        <v>506</v>
      </c>
      <c r="CM2210" s="8" t="s">
        <v>1314</v>
      </c>
      <c r="CN2210" s="8">
        <v>462</v>
      </c>
      <c r="CT2210" s="8" t="s">
        <v>594</v>
      </c>
      <c r="DB2210" s="8" t="s">
        <v>625</v>
      </c>
      <c r="DC2210" s="79"/>
    </row>
    <row r="2211" spans="1:107" x14ac:dyDescent="0.25">
      <c r="A2211" s="73" t="s">
        <v>232</v>
      </c>
      <c r="B2211" s="73" t="s">
        <v>232</v>
      </c>
      <c r="F2211" s="8">
        <v>862</v>
      </c>
      <c r="I2211" s="8" t="s">
        <v>126</v>
      </c>
      <c r="U2211" s="8" t="s">
        <v>1428</v>
      </c>
      <c r="Y2211" s="8" t="s">
        <v>1104</v>
      </c>
      <c r="Z2211" s="8"/>
      <c r="AG2211" s="8"/>
      <c r="AO2211" s="8" t="s">
        <v>758</v>
      </c>
      <c r="AP2211" s="79"/>
      <c r="AR2211" s="8" t="s">
        <v>1161</v>
      </c>
      <c r="BB2211" s="8">
        <v>49666222</v>
      </c>
      <c r="BH2211" s="8"/>
      <c r="BN2211" s="8" t="s">
        <v>1232</v>
      </c>
      <c r="BO2211" s="8" t="s">
        <v>408</v>
      </c>
      <c r="BP2211" s="8"/>
      <c r="CA2211" s="8"/>
      <c r="CE2211" s="8" t="s">
        <v>1468</v>
      </c>
      <c r="CI2211" s="8" t="s">
        <v>507</v>
      </c>
      <c r="CM2211" s="8" t="s">
        <v>1471</v>
      </c>
      <c r="CN2211" s="8">
        <v>463</v>
      </c>
      <c r="CT2211" s="8" t="s">
        <v>595</v>
      </c>
      <c r="DB2211" s="8" t="s">
        <v>1401</v>
      </c>
      <c r="DC2211" s="79"/>
    </row>
    <row r="2212" spans="1:107" x14ac:dyDescent="0.25">
      <c r="A2212" s="73" t="s">
        <v>234</v>
      </c>
      <c r="B2212" s="73" t="s">
        <v>234</v>
      </c>
      <c r="F2212" s="8">
        <v>8630</v>
      </c>
      <c r="I2212" s="8" t="s">
        <v>1052</v>
      </c>
      <c r="U2212" s="8" t="s">
        <v>151</v>
      </c>
      <c r="Y2212" s="8" t="s">
        <v>1105</v>
      </c>
      <c r="AG2212" s="8"/>
      <c r="AO2212" s="8" t="s">
        <v>1148</v>
      </c>
      <c r="AP2212" s="79"/>
      <c r="AR2212" s="8" t="s">
        <v>792</v>
      </c>
      <c r="BB2212" s="8"/>
      <c r="BH2212" s="8"/>
      <c r="BN2212" s="8" t="s">
        <v>1233</v>
      </c>
      <c r="BO2212" s="8" t="s">
        <v>691</v>
      </c>
      <c r="BP2212" s="8"/>
      <c r="CA2212" s="8"/>
      <c r="CE2212" s="8" t="s">
        <v>474</v>
      </c>
      <c r="CI2212" s="8" t="s">
        <v>508</v>
      </c>
      <c r="CM2212" s="8" t="s">
        <v>997</v>
      </c>
      <c r="CN2212" s="8">
        <v>472</v>
      </c>
      <c r="CT2212" s="8" t="s">
        <v>596</v>
      </c>
      <c r="DB2212" s="8" t="s">
        <v>1402</v>
      </c>
      <c r="DC2212" s="79"/>
    </row>
    <row r="2213" spans="1:107" x14ac:dyDescent="0.25">
      <c r="A2213" s="73" t="s">
        <v>39</v>
      </c>
      <c r="B2213" s="73" t="s">
        <v>39</v>
      </c>
      <c r="F2213" s="8">
        <v>902</v>
      </c>
      <c r="I2213" s="8" t="s">
        <v>1053</v>
      </c>
      <c r="U2213" s="8" t="s">
        <v>152</v>
      </c>
      <c r="Y2213" s="8" t="s">
        <v>1106</v>
      </c>
      <c r="AG2213" s="8"/>
      <c r="AO2213" s="8" t="s">
        <v>273</v>
      </c>
      <c r="AP2213" s="79"/>
      <c r="AR2213" s="8" t="s">
        <v>793</v>
      </c>
      <c r="BB2213" s="8"/>
      <c r="BH2213" s="8"/>
      <c r="BN2213" s="8" t="s">
        <v>1234</v>
      </c>
      <c r="BO2213" s="8" t="s">
        <v>77</v>
      </c>
      <c r="BP2213" s="8"/>
      <c r="CA2213" s="8"/>
      <c r="CE2213" s="8" t="s">
        <v>475</v>
      </c>
      <c r="CI2213" s="8" t="s">
        <v>1302</v>
      </c>
      <c r="CM2213" s="8" t="s">
        <v>998</v>
      </c>
      <c r="CN2213" s="8">
        <v>473</v>
      </c>
      <c r="CT2213" s="8" t="s">
        <v>860</v>
      </c>
      <c r="DB2213" s="8" t="s">
        <v>1403</v>
      </c>
      <c r="DC2213" s="79"/>
    </row>
    <row r="2214" spans="1:107" x14ac:dyDescent="0.25">
      <c r="A2214" s="73" t="s">
        <v>248</v>
      </c>
      <c r="B2214" s="73" t="s">
        <v>248</v>
      </c>
      <c r="F2214" s="8">
        <v>905</v>
      </c>
      <c r="I2214" s="8" t="s">
        <v>1054</v>
      </c>
      <c r="U2214" s="8" t="s">
        <v>1082</v>
      </c>
      <c r="Y2214" s="8" t="s">
        <v>1107</v>
      </c>
      <c r="AG2214" s="8"/>
      <c r="AO2214" s="8" t="s">
        <v>1149</v>
      </c>
      <c r="AP2214" s="79"/>
      <c r="AR2214" s="8" t="s">
        <v>794</v>
      </c>
      <c r="BB2214" s="8"/>
      <c r="BN2214" s="8" t="s">
        <v>373</v>
      </c>
      <c r="BO2214" s="8" t="s">
        <v>1461</v>
      </c>
      <c r="BP2214" s="8"/>
      <c r="CE2214" s="8" t="s">
        <v>1298</v>
      </c>
      <c r="CI2214" s="8" t="s">
        <v>1303</v>
      </c>
      <c r="CM2214" s="8" t="s">
        <v>999</v>
      </c>
      <c r="CN2214" s="8">
        <v>474</v>
      </c>
      <c r="CT2214" s="8" t="s">
        <v>597</v>
      </c>
      <c r="DB2214" s="8" t="s">
        <v>1404</v>
      </c>
      <c r="DC2214" s="79"/>
    </row>
    <row r="2215" spans="1:107" x14ac:dyDescent="0.25">
      <c r="A2215" s="73" t="s">
        <v>249</v>
      </c>
      <c r="B2215" s="73" t="s">
        <v>249</v>
      </c>
      <c r="F2215" s="8" t="s">
        <v>92</v>
      </c>
      <c r="I2215" s="8" t="s">
        <v>1055</v>
      </c>
      <c r="U2215" s="8" t="s">
        <v>1083</v>
      </c>
      <c r="Y2215" s="8" t="s">
        <v>744</v>
      </c>
      <c r="AG2215" s="8"/>
      <c r="AO2215" s="8" t="s">
        <v>274</v>
      </c>
      <c r="AP2215" s="79"/>
      <c r="AR2215" s="8" t="s">
        <v>795</v>
      </c>
      <c r="BB2215" s="8"/>
      <c r="BN2215" s="8" t="s">
        <v>374</v>
      </c>
      <c r="BO2215" s="8" t="s">
        <v>409</v>
      </c>
      <c r="BP2215" s="8"/>
      <c r="CE2215" s="8" t="s">
        <v>843</v>
      </c>
      <c r="CI2215" s="8" t="s">
        <v>509</v>
      </c>
      <c r="CM2215" s="8" t="s">
        <v>706</v>
      </c>
      <c r="CN2215" s="8">
        <v>492</v>
      </c>
      <c r="CT2215" s="8" t="s">
        <v>598</v>
      </c>
      <c r="DB2215" s="8" t="s">
        <v>1405</v>
      </c>
      <c r="DC2215" s="79"/>
    </row>
    <row r="2216" spans="1:107" x14ac:dyDescent="0.25">
      <c r="A2216" s="73" t="s">
        <v>41</v>
      </c>
      <c r="B2216" s="73" t="s">
        <v>41</v>
      </c>
      <c r="F2216" s="8" t="s">
        <v>93</v>
      </c>
      <c r="I2216" s="8" t="s">
        <v>1056</v>
      </c>
      <c r="U2216" s="8" t="s">
        <v>1084</v>
      </c>
      <c r="Y2216" s="8" t="s">
        <v>1108</v>
      </c>
      <c r="AO2216" s="8" t="s">
        <v>275</v>
      </c>
      <c r="AR2216" s="8" t="s">
        <v>796</v>
      </c>
      <c r="BB2216" s="8"/>
      <c r="BN2216" s="8" t="s">
        <v>1235</v>
      </c>
      <c r="BO2216" s="8" t="s">
        <v>410</v>
      </c>
      <c r="BP2216" s="8"/>
      <c r="CE2216" s="8"/>
      <c r="CI2216" s="8" t="s">
        <v>510</v>
      </c>
      <c r="CM2216" s="8" t="s">
        <v>707</v>
      </c>
      <c r="CN2216" s="8">
        <v>493</v>
      </c>
      <c r="CT2216" s="8" t="s">
        <v>861</v>
      </c>
      <c r="DB2216" s="8" t="s">
        <v>1406</v>
      </c>
      <c r="DC2216" s="79"/>
    </row>
    <row r="2217" spans="1:107" x14ac:dyDescent="0.25">
      <c r="A2217" s="73" t="s">
        <v>251</v>
      </c>
      <c r="B2217" s="73" t="s">
        <v>251</v>
      </c>
      <c r="F2217" s="8" t="s">
        <v>94</v>
      </c>
      <c r="I2217" s="8" t="s">
        <v>1057</v>
      </c>
      <c r="U2217" s="8" t="s">
        <v>1429</v>
      </c>
      <c r="Y2217" s="8" t="s">
        <v>18</v>
      </c>
      <c r="AO2217" s="8" t="s">
        <v>276</v>
      </c>
      <c r="AR2217" s="8" t="s">
        <v>797</v>
      </c>
      <c r="BB2217" s="8"/>
      <c r="BN2217" s="8" t="s">
        <v>1236</v>
      </c>
      <c r="BO2217" s="8" t="s">
        <v>411</v>
      </c>
      <c r="BP2217" s="8"/>
      <c r="CE2217" s="8"/>
      <c r="CI2217" s="8" t="s">
        <v>511</v>
      </c>
      <c r="CM2217" s="8" t="s">
        <v>1472</v>
      </c>
      <c r="CN2217" s="8">
        <v>494</v>
      </c>
      <c r="CT2217" s="8" t="s">
        <v>862</v>
      </c>
      <c r="DB2217" s="8" t="s">
        <v>1407</v>
      </c>
      <c r="DC2217" s="79"/>
    </row>
    <row r="2218" spans="1:107" x14ac:dyDescent="0.25">
      <c r="A2218" s="73" t="s">
        <v>254</v>
      </c>
      <c r="B2218" s="73" t="s">
        <v>254</v>
      </c>
      <c r="F2218" s="8" t="s">
        <v>95</v>
      </c>
      <c r="I2218" s="8" t="s">
        <v>1058</v>
      </c>
      <c r="U2218" s="8" t="s">
        <v>870</v>
      </c>
      <c r="Y2218" s="8" t="s">
        <v>19</v>
      </c>
      <c r="AO2218" s="8" t="s">
        <v>277</v>
      </c>
      <c r="AR2218" s="8" t="s">
        <v>798</v>
      </c>
      <c r="BB2218" s="8"/>
      <c r="BN2218" s="8" t="s">
        <v>1237</v>
      </c>
      <c r="BO2218" s="8" t="s">
        <v>412</v>
      </c>
      <c r="BP2218" s="8"/>
      <c r="CE2218" s="8"/>
      <c r="CI2218" s="8" t="s">
        <v>512</v>
      </c>
      <c r="CM2218" s="8" t="s">
        <v>708</v>
      </c>
      <c r="CN2218" s="8">
        <v>512</v>
      </c>
      <c r="CT2218" s="8" t="s">
        <v>711</v>
      </c>
      <c r="DB2218" s="8" t="s">
        <v>1408</v>
      </c>
      <c r="DC2218" s="79"/>
    </row>
    <row r="2219" spans="1:107" x14ac:dyDescent="0.25">
      <c r="A2219" s="78" t="s">
        <v>1018</v>
      </c>
      <c r="B2219" s="78" t="s">
        <v>1018</v>
      </c>
      <c r="F2219" s="8" t="s">
        <v>96</v>
      </c>
      <c r="I2219" s="8" t="s">
        <v>1059</v>
      </c>
      <c r="U2219" s="8" t="s">
        <v>871</v>
      </c>
      <c r="Y2219" s="8" t="s">
        <v>192</v>
      </c>
      <c r="AO2219" s="8" t="s">
        <v>42</v>
      </c>
      <c r="AR2219" s="8" t="s">
        <v>1162</v>
      </c>
      <c r="BB2219" s="8"/>
      <c r="BN2219" s="8" t="s">
        <v>1238</v>
      </c>
      <c r="BO2219" s="8" t="s">
        <v>413</v>
      </c>
      <c r="BP2219" s="8"/>
      <c r="CE2219" s="8"/>
      <c r="CI2219" s="8" t="s">
        <v>513</v>
      </c>
      <c r="CM2219" s="8" t="s">
        <v>1315</v>
      </c>
      <c r="CN2219" s="8">
        <v>513</v>
      </c>
      <c r="CT2219" s="8" t="s">
        <v>599</v>
      </c>
      <c r="DB2219" s="8" t="s">
        <v>1409</v>
      </c>
      <c r="DC2219" s="79"/>
    </row>
    <row r="2220" spans="1:107" x14ac:dyDescent="0.25">
      <c r="A2220" s="73" t="s">
        <v>311</v>
      </c>
      <c r="B2220" s="73" t="s">
        <v>311</v>
      </c>
      <c r="F2220" s="8" t="s">
        <v>97</v>
      </c>
      <c r="I2220" s="8" t="s">
        <v>1060</v>
      </c>
      <c r="U2220" s="8" t="s">
        <v>153</v>
      </c>
      <c r="Y2220" s="8" t="s">
        <v>193</v>
      </c>
      <c r="AO2220" s="8" t="s">
        <v>1150</v>
      </c>
      <c r="AR2220" s="8"/>
      <c r="BB2220" s="8"/>
      <c r="BN2220" s="8" t="s">
        <v>375</v>
      </c>
      <c r="BO2220" s="8" t="s">
        <v>808</v>
      </c>
      <c r="BP2220" s="8"/>
      <c r="CE2220" s="8"/>
      <c r="CI2220" s="8" t="s">
        <v>514</v>
      </c>
      <c r="CM2220" s="8" t="s">
        <v>1000</v>
      </c>
      <c r="CN2220" s="8">
        <v>52</v>
      </c>
      <c r="CT2220" s="8" t="s">
        <v>600</v>
      </c>
      <c r="DB2220" s="8" t="s">
        <v>1410</v>
      </c>
      <c r="DC2220" s="79"/>
    </row>
    <row r="2221" spans="1:107" x14ac:dyDescent="0.25">
      <c r="A2221" s="73" t="s">
        <v>788</v>
      </c>
      <c r="B2221" s="73" t="s">
        <v>788</v>
      </c>
      <c r="F2221" s="8" t="s">
        <v>98</v>
      </c>
      <c r="I2221" s="8" t="s">
        <v>1061</v>
      </c>
      <c r="U2221" s="8" t="s">
        <v>154</v>
      </c>
      <c r="Y2221" s="8" t="s">
        <v>194</v>
      </c>
      <c r="AO2221" s="8" t="s">
        <v>1151</v>
      </c>
      <c r="AR2221" s="8"/>
      <c r="BB2221" s="8"/>
      <c r="BN2221" s="8" t="s">
        <v>1239</v>
      </c>
      <c r="BO2221" s="8" t="s">
        <v>414</v>
      </c>
      <c r="BP2221" s="8"/>
      <c r="CE2221" s="8"/>
      <c r="CI2221" s="8" t="s">
        <v>878</v>
      </c>
      <c r="CM2221" s="8" t="s">
        <v>1316</v>
      </c>
      <c r="CN2221" s="8">
        <v>522</v>
      </c>
      <c r="CT2221" s="8" t="s">
        <v>601</v>
      </c>
      <c r="DB2221" s="8" t="s">
        <v>1411</v>
      </c>
      <c r="DC2221" s="79"/>
    </row>
    <row r="2222" spans="1:107" x14ac:dyDescent="0.25">
      <c r="A2222" s="73" t="s">
        <v>1019</v>
      </c>
      <c r="B2222" s="73" t="s">
        <v>1019</v>
      </c>
      <c r="F2222" s="8" t="s">
        <v>99</v>
      </c>
      <c r="I2222" s="8" t="s">
        <v>1062</v>
      </c>
      <c r="U2222" s="8" t="s">
        <v>155</v>
      </c>
      <c r="Y2222" s="8" t="s">
        <v>50</v>
      </c>
      <c r="AO2222" s="8" t="s">
        <v>1152</v>
      </c>
      <c r="AR2222" s="8"/>
      <c r="BB2222" s="8"/>
      <c r="BN2222" s="8" t="s">
        <v>1240</v>
      </c>
      <c r="BO2222" s="8" t="s">
        <v>415</v>
      </c>
      <c r="CE2222" s="8"/>
      <c r="CI2222" s="8" t="s">
        <v>515</v>
      </c>
      <c r="CM2222" s="8" t="s">
        <v>1473</v>
      </c>
      <c r="CN2222" s="8">
        <v>524</v>
      </c>
      <c r="CT2222" s="8" t="s">
        <v>602</v>
      </c>
      <c r="DB2222" s="8" t="s">
        <v>1412</v>
      </c>
      <c r="DC2222" s="79"/>
    </row>
    <row r="2223" spans="1:107" x14ac:dyDescent="0.25">
      <c r="A2223" s="73" t="s">
        <v>326</v>
      </c>
      <c r="B2223" s="73" t="s">
        <v>326</v>
      </c>
      <c r="F2223" s="8" t="s">
        <v>100</v>
      </c>
      <c r="I2223" s="8"/>
      <c r="U2223" s="8" t="s">
        <v>156</v>
      </c>
      <c r="Y2223" s="8" t="s">
        <v>49</v>
      </c>
      <c r="AO2223" s="8" t="s">
        <v>1153</v>
      </c>
      <c r="AR2223" s="8"/>
      <c r="BB2223" s="8"/>
      <c r="BN2223" s="8" t="s">
        <v>1241</v>
      </c>
      <c r="BO2223" s="8" t="s">
        <v>416</v>
      </c>
      <c r="CE2223" s="8"/>
      <c r="CI2223" s="8" t="s">
        <v>516</v>
      </c>
      <c r="CM2223" s="8" t="s">
        <v>879</v>
      </c>
      <c r="CN2223" s="8">
        <v>53</v>
      </c>
      <c r="CT2223" s="8" t="s">
        <v>603</v>
      </c>
      <c r="DB2223" s="8" t="s">
        <v>1413</v>
      </c>
      <c r="DC2223" s="79"/>
    </row>
    <row r="2224" spans="1:107" x14ac:dyDescent="0.25">
      <c r="A2224" s="73" t="s">
        <v>327</v>
      </c>
      <c r="B2224" s="73" t="s">
        <v>327</v>
      </c>
      <c r="F2224" s="8" t="s">
        <v>101</v>
      </c>
      <c r="I2224" s="8"/>
      <c r="U2224" s="8" t="s">
        <v>157</v>
      </c>
      <c r="Y2224" s="8" t="s">
        <v>195</v>
      </c>
      <c r="AO2224" s="8" t="s">
        <v>759</v>
      </c>
      <c r="AR2224" s="8"/>
      <c r="BB2224" s="8"/>
      <c r="BN2224" s="8" t="s">
        <v>376</v>
      </c>
      <c r="BO2224" s="8" t="s">
        <v>417</v>
      </c>
      <c r="CE2224" s="8"/>
      <c r="CI2224" s="8" t="s">
        <v>517</v>
      </c>
      <c r="CM2224" s="8" t="s">
        <v>1001</v>
      </c>
      <c r="CN2224" s="8">
        <v>532</v>
      </c>
      <c r="CT2224" s="8" t="s">
        <v>604</v>
      </c>
      <c r="DB2224" s="8" t="s">
        <v>1414</v>
      </c>
      <c r="DC2224" s="79"/>
    </row>
    <row r="2225" spans="1:107" x14ac:dyDescent="0.25">
      <c r="A2225" s="78" t="s">
        <v>1020</v>
      </c>
      <c r="B2225" s="78" t="s">
        <v>1020</v>
      </c>
      <c r="F2225" s="8" t="s">
        <v>33</v>
      </c>
      <c r="I2225" s="8"/>
      <c r="U2225" s="8" t="s">
        <v>158</v>
      </c>
      <c r="Y2225" s="8" t="s">
        <v>48</v>
      </c>
      <c r="AO2225" s="8" t="s">
        <v>760</v>
      </c>
      <c r="AR2225" s="8"/>
      <c r="BB2225" s="8"/>
      <c r="BN2225" s="8" t="s">
        <v>1242</v>
      </c>
      <c r="BO2225" s="8" t="s">
        <v>809</v>
      </c>
      <c r="CE2225" s="8"/>
      <c r="CI2225" s="8" t="s">
        <v>518</v>
      </c>
      <c r="CM2225" s="8" t="s">
        <v>1317</v>
      </c>
      <c r="CN2225" s="8">
        <v>533</v>
      </c>
      <c r="CT2225" s="8" t="s">
        <v>605</v>
      </c>
      <c r="DB2225" s="8" t="s">
        <v>1415</v>
      </c>
      <c r="DC2225" s="79"/>
    </row>
    <row r="2226" spans="1:107" x14ac:dyDescent="0.25">
      <c r="A2226" s="73" t="s">
        <v>800</v>
      </c>
      <c r="B2226" s="73" t="s">
        <v>800</v>
      </c>
      <c r="F2226" s="8" t="s">
        <v>102</v>
      </c>
      <c r="I2226" s="8"/>
      <c r="U2226" s="8" t="s">
        <v>159</v>
      </c>
      <c r="Y2226" s="8" t="s">
        <v>47</v>
      </c>
      <c r="AO2226" s="8" t="s">
        <v>1154</v>
      </c>
      <c r="AR2226" s="8"/>
      <c r="BB2226" s="8"/>
      <c r="BN2226" s="8" t="s">
        <v>1243</v>
      </c>
      <c r="BO2226" s="8" t="s">
        <v>418</v>
      </c>
      <c r="CE2226" s="8"/>
      <c r="CI2226" s="8" t="s">
        <v>519</v>
      </c>
      <c r="CM2226" s="8" t="s">
        <v>880</v>
      </c>
      <c r="CN2226" s="8">
        <v>534</v>
      </c>
      <c r="CT2226" s="8" t="s">
        <v>606</v>
      </c>
      <c r="DB2226" s="8" t="s">
        <v>1416</v>
      </c>
      <c r="DC2226" s="79"/>
    </row>
    <row r="2227" spans="1:107" x14ac:dyDescent="0.25">
      <c r="A2227" s="73" t="s">
        <v>1021</v>
      </c>
      <c r="B2227" s="73" t="s">
        <v>1021</v>
      </c>
      <c r="F2227" s="8" t="s">
        <v>34</v>
      </c>
      <c r="I2227" s="8"/>
      <c r="U2227" s="8" t="s">
        <v>664</v>
      </c>
      <c r="Y2227" s="8" t="s">
        <v>196</v>
      </c>
      <c r="AO2227" s="8" t="s">
        <v>1155</v>
      </c>
      <c r="AR2227" s="8"/>
      <c r="BB2227" s="8"/>
      <c r="BN2227" s="8" t="s">
        <v>377</v>
      </c>
      <c r="BO2227" s="8" t="s">
        <v>692</v>
      </c>
      <c r="CE2227" s="8"/>
      <c r="CI2227" s="8" t="s">
        <v>520</v>
      </c>
      <c r="CM2227" s="8" t="s">
        <v>1318</v>
      </c>
      <c r="CN2227" s="8">
        <v>54</v>
      </c>
      <c r="CT2227" s="8" t="s">
        <v>607</v>
      </c>
      <c r="DB2227" s="8" t="s">
        <v>1417</v>
      </c>
      <c r="DC2227" s="79"/>
    </row>
    <row r="2228" spans="1:107" x14ac:dyDescent="0.25">
      <c r="A2228" s="78" t="s">
        <v>1426</v>
      </c>
      <c r="B2228" s="78" t="s">
        <v>1426</v>
      </c>
      <c r="F2228" s="8" t="s">
        <v>658</v>
      </c>
      <c r="I2228" s="8"/>
      <c r="U2228" s="8" t="s">
        <v>160</v>
      </c>
      <c r="Y2228" s="8" t="s">
        <v>197</v>
      </c>
      <c r="AO2228" s="8" t="s">
        <v>638</v>
      </c>
      <c r="AR2228" s="8"/>
      <c r="BB2228" s="8"/>
      <c r="BN2228" s="8" t="s">
        <v>1244</v>
      </c>
      <c r="BO2228" s="8" t="s">
        <v>810</v>
      </c>
      <c r="CE2228" s="8"/>
      <c r="CI2228" s="8" t="s">
        <v>521</v>
      </c>
      <c r="CM2228" s="8" t="s">
        <v>881</v>
      </c>
      <c r="CN2228" s="8" t="s">
        <v>1324</v>
      </c>
      <c r="CT2228" s="8" t="s">
        <v>608</v>
      </c>
      <c r="DB2228" s="8" t="s">
        <v>1418</v>
      </c>
      <c r="DC2228" s="79"/>
    </row>
    <row r="2229" spans="1:107" x14ac:dyDescent="0.25">
      <c r="A2229" s="73" t="s">
        <v>331</v>
      </c>
      <c r="B2229" s="73" t="s">
        <v>331</v>
      </c>
      <c r="F2229" s="8" t="s">
        <v>103</v>
      </c>
      <c r="I2229" s="8"/>
      <c r="U2229" s="8" t="s">
        <v>161</v>
      </c>
      <c r="Y2229" s="8" t="s">
        <v>198</v>
      </c>
      <c r="AO2229" s="8" t="s">
        <v>761</v>
      </c>
      <c r="AR2229" s="8"/>
      <c r="BB2229" s="8"/>
      <c r="BN2229" s="8" t="s">
        <v>1245</v>
      </c>
      <c r="BO2229" s="8" t="s">
        <v>811</v>
      </c>
      <c r="CE2229" s="8"/>
      <c r="CI2229" s="8" t="s">
        <v>522</v>
      </c>
      <c r="CM2229" s="8"/>
      <c r="CN2229" s="8" t="s">
        <v>1325</v>
      </c>
      <c r="CT2229" s="8" t="s">
        <v>609</v>
      </c>
      <c r="DB2229" s="8" t="s">
        <v>1419</v>
      </c>
      <c r="DC2229" s="79"/>
    </row>
    <row r="2230" spans="1:107" x14ac:dyDescent="0.25">
      <c r="A2230" s="73" t="s">
        <v>332</v>
      </c>
      <c r="B2230" s="73" t="s">
        <v>332</v>
      </c>
      <c r="F2230" s="8" t="s">
        <v>104</v>
      </c>
      <c r="I2230" s="8"/>
      <c r="U2230" s="8" t="s">
        <v>162</v>
      </c>
      <c r="Y2230" s="8" t="s">
        <v>955</v>
      </c>
      <c r="AO2230" s="8" t="s">
        <v>639</v>
      </c>
      <c r="AR2230" s="8"/>
      <c r="BB2230" s="8"/>
      <c r="BN2230" s="8" t="s">
        <v>378</v>
      </c>
      <c r="BO2230" s="8" t="s">
        <v>971</v>
      </c>
      <c r="CI2230" s="8" t="s">
        <v>523</v>
      </c>
      <c r="CM2230" s="8"/>
      <c r="CN2230" s="8" t="s">
        <v>1326</v>
      </c>
      <c r="CT2230" s="8" t="s">
        <v>610</v>
      </c>
      <c r="DB2230" s="8" t="s">
        <v>1420</v>
      </c>
      <c r="DC2230" s="79"/>
    </row>
    <row r="2231" spans="1:107" x14ac:dyDescent="0.25">
      <c r="A2231" s="73" t="s">
        <v>335</v>
      </c>
      <c r="B2231" s="73" t="s">
        <v>335</v>
      </c>
      <c r="F2231" s="8" t="s">
        <v>35</v>
      </c>
      <c r="I2231" s="8"/>
      <c r="U2231" s="8" t="s">
        <v>163</v>
      </c>
      <c r="Y2231" s="8" t="s">
        <v>745</v>
      </c>
      <c r="AO2231" s="8" t="s">
        <v>640</v>
      </c>
      <c r="AR2231" s="8"/>
      <c r="BB2231" s="8"/>
      <c r="BN2231" s="8" t="s">
        <v>379</v>
      </c>
      <c r="BO2231" s="8" t="s">
        <v>419</v>
      </c>
      <c r="CI2231" s="8" t="s">
        <v>524</v>
      </c>
      <c r="CM2231" s="8"/>
      <c r="CN2231" s="8" t="s">
        <v>1327</v>
      </c>
      <c r="CT2231" s="8" t="s">
        <v>611</v>
      </c>
      <c r="DB2231" s="8"/>
      <c r="DC2231" s="79"/>
    </row>
    <row r="2232" spans="1:107" x14ac:dyDescent="0.25">
      <c r="A2232" s="73" t="s">
        <v>336</v>
      </c>
      <c r="B2232" s="73" t="s">
        <v>336</v>
      </c>
      <c r="F2232" s="8" t="s">
        <v>105</v>
      </c>
      <c r="I2232" s="8"/>
      <c r="U2232" s="8" t="s">
        <v>164</v>
      </c>
      <c r="Y2232" s="8" t="s">
        <v>1436</v>
      </c>
      <c r="AO2232" s="8" t="s">
        <v>762</v>
      </c>
      <c r="AR2232" s="8"/>
      <c r="BB2232" s="8"/>
      <c r="BN2232" s="8" t="s">
        <v>380</v>
      </c>
      <c r="BO2232" s="8" t="s">
        <v>693</v>
      </c>
      <c r="CI2232" s="8" t="s">
        <v>525</v>
      </c>
      <c r="CM2232" s="8"/>
      <c r="CN2232" s="8">
        <v>604</v>
      </c>
      <c r="CT2232" s="8" t="s">
        <v>612</v>
      </c>
      <c r="DB2232" s="8"/>
      <c r="DC2232" s="79"/>
    </row>
    <row r="2233" spans="1:107" x14ac:dyDescent="0.25">
      <c r="A2233" s="73" t="s">
        <v>338</v>
      </c>
      <c r="B2233" s="73" t="s">
        <v>338</v>
      </c>
      <c r="F2233" s="8" t="s">
        <v>106</v>
      </c>
      <c r="I2233" s="8"/>
      <c r="U2233" s="8" t="s">
        <v>165</v>
      </c>
      <c r="Y2233" s="8" t="s">
        <v>1437</v>
      </c>
      <c r="AO2233" s="8" t="s">
        <v>278</v>
      </c>
      <c r="AR2233" s="8"/>
      <c r="BB2233" s="8"/>
      <c r="BN2233" s="8" t="s">
        <v>381</v>
      </c>
      <c r="BO2233" s="8" t="s">
        <v>694</v>
      </c>
      <c r="CI2233" s="8" t="s">
        <v>526</v>
      </c>
      <c r="CM2233" s="8"/>
      <c r="CN2233" s="8">
        <v>606</v>
      </c>
      <c r="CT2233" s="8" t="s">
        <v>712</v>
      </c>
      <c r="DB2233" s="8"/>
      <c r="DC2233" s="79"/>
    </row>
    <row r="2234" spans="1:107" x14ac:dyDescent="0.25">
      <c r="A2234" s="78" t="s">
        <v>1022</v>
      </c>
      <c r="B2234" s="78" t="s">
        <v>1022</v>
      </c>
      <c r="F2234" s="8" t="s">
        <v>31</v>
      </c>
      <c r="I2234" s="8"/>
      <c r="U2234" s="8" t="s">
        <v>166</v>
      </c>
      <c r="Y2234" s="8" t="s">
        <v>199</v>
      </c>
      <c r="AO2234" s="8" t="s">
        <v>763</v>
      </c>
      <c r="AR2234" s="8"/>
      <c r="BB2234" s="8"/>
      <c r="BN2234" s="8" t="s">
        <v>382</v>
      </c>
      <c r="BO2234" s="8" t="s">
        <v>972</v>
      </c>
      <c r="CI2234" s="8" t="s">
        <v>527</v>
      </c>
      <c r="CN2234" s="8" t="s">
        <v>848</v>
      </c>
      <c r="CT2234" s="8">
        <v>310999</v>
      </c>
      <c r="DB2234" s="8"/>
      <c r="DC2234" s="79"/>
    </row>
    <row r="2235" spans="1:107" x14ac:dyDescent="0.25">
      <c r="A2235" s="73" t="s">
        <v>339</v>
      </c>
      <c r="B2235" s="73" t="s">
        <v>339</v>
      </c>
      <c r="F2235" s="8" t="s">
        <v>107</v>
      </c>
      <c r="I2235" s="8"/>
      <c r="U2235" s="8" t="s">
        <v>167</v>
      </c>
      <c r="AO2235" s="8" t="s">
        <v>764</v>
      </c>
      <c r="AR2235" s="8"/>
      <c r="BB2235" s="8"/>
      <c r="BN2235" s="8" t="s">
        <v>383</v>
      </c>
      <c r="BO2235" s="8" t="s">
        <v>420</v>
      </c>
      <c r="CI2235" s="8" t="s">
        <v>528</v>
      </c>
      <c r="CN2235" s="8">
        <v>642</v>
      </c>
      <c r="CT2235" s="8" t="s">
        <v>613</v>
      </c>
      <c r="DB2235" s="8"/>
      <c r="DC2235" s="79"/>
    </row>
    <row r="2236" spans="1:107" x14ac:dyDescent="0.25">
      <c r="A2236" s="73" t="s">
        <v>803</v>
      </c>
      <c r="B2236" s="73" t="s">
        <v>803</v>
      </c>
      <c r="F2236" s="8" t="s">
        <v>108</v>
      </c>
      <c r="I2236" s="8"/>
      <c r="U2236" s="8" t="s">
        <v>168</v>
      </c>
      <c r="AO2236" s="8" t="s">
        <v>960</v>
      </c>
      <c r="AR2236" s="8"/>
      <c r="BB2236" s="8"/>
      <c r="BN2236" s="8" t="s">
        <v>384</v>
      </c>
      <c r="BO2236" s="8" t="s">
        <v>421</v>
      </c>
      <c r="CI2236" s="8" t="s">
        <v>529</v>
      </c>
      <c r="CN2236" s="8">
        <v>6452</v>
      </c>
      <c r="CT2236" s="8" t="s">
        <v>614</v>
      </c>
      <c r="DB2236" s="8"/>
      <c r="DC2236" s="79"/>
    </row>
    <row r="2237" spans="1:107" x14ac:dyDescent="0.25">
      <c r="A2237" s="73" t="s">
        <v>51</v>
      </c>
      <c r="B2237" s="73" t="s">
        <v>51</v>
      </c>
      <c r="F2237" s="8" t="s">
        <v>109</v>
      </c>
      <c r="I2237" s="8"/>
      <c r="U2237" s="8" t="s">
        <v>169</v>
      </c>
      <c r="AO2237" s="8" t="s">
        <v>765</v>
      </c>
      <c r="AR2237" s="8"/>
      <c r="BB2237" s="8"/>
      <c r="BN2237" s="8" t="s">
        <v>385</v>
      </c>
      <c r="BO2237" s="8" t="s">
        <v>973</v>
      </c>
      <c r="CI2237" s="8" t="s">
        <v>530</v>
      </c>
      <c r="CN2237" s="8">
        <v>64522</v>
      </c>
      <c r="CT2237" s="8" t="s">
        <v>616</v>
      </c>
      <c r="DB2237" s="8"/>
      <c r="DC2237" s="79"/>
    </row>
    <row r="2238" spans="1:107" x14ac:dyDescent="0.25">
      <c r="A2238" s="73" t="s">
        <v>900</v>
      </c>
      <c r="B2238" s="73" t="s">
        <v>900</v>
      </c>
      <c r="F2238" s="8" t="s">
        <v>32</v>
      </c>
      <c r="I2238" s="8"/>
      <c r="U2238" s="8" t="s">
        <v>170</v>
      </c>
      <c r="AO2238" s="8" t="s">
        <v>766</v>
      </c>
      <c r="AR2238" s="8"/>
      <c r="BB2238" s="8"/>
      <c r="BN2238" s="8" t="s">
        <v>1246</v>
      </c>
      <c r="BO2238" s="8" t="s">
        <v>78</v>
      </c>
      <c r="CI2238" s="8" t="s">
        <v>704</v>
      </c>
      <c r="CN2238" s="8">
        <v>6453</v>
      </c>
      <c r="CT2238" s="8" t="s">
        <v>1356</v>
      </c>
      <c r="DB2238" s="8"/>
      <c r="DC2238" s="79"/>
    </row>
    <row r="2239" spans="1:107" x14ac:dyDescent="0.25">
      <c r="A2239" s="73" t="s">
        <v>357</v>
      </c>
      <c r="B2239" s="73" t="s">
        <v>357</v>
      </c>
      <c r="F2239" s="8" t="s">
        <v>110</v>
      </c>
      <c r="I2239" s="8"/>
      <c r="U2239" s="8" t="s">
        <v>171</v>
      </c>
      <c r="AO2239" s="8" t="s">
        <v>767</v>
      </c>
      <c r="AR2239" s="8"/>
      <c r="BB2239" s="8"/>
      <c r="BN2239" s="8" t="s">
        <v>1247</v>
      </c>
      <c r="BO2239" s="8" t="s">
        <v>812</v>
      </c>
      <c r="CI2239" s="8" t="s">
        <v>846</v>
      </c>
      <c r="CN2239" s="8">
        <v>6454</v>
      </c>
      <c r="CT2239" s="8" t="s">
        <v>1357</v>
      </c>
      <c r="DB2239" s="8"/>
      <c r="DC2239" s="79"/>
    </row>
    <row r="2240" spans="1:107" x14ac:dyDescent="0.25">
      <c r="A2240" s="73" t="s">
        <v>45</v>
      </c>
      <c r="B2240" s="73" t="s">
        <v>45</v>
      </c>
      <c r="F2240" s="8" t="s">
        <v>111</v>
      </c>
      <c r="I2240" s="8"/>
      <c r="U2240" s="8" t="s">
        <v>665</v>
      </c>
      <c r="AO2240" s="8" t="s">
        <v>456</v>
      </c>
      <c r="AR2240" s="8"/>
      <c r="BB2240" s="8"/>
      <c r="BN2240" s="8" t="s">
        <v>386</v>
      </c>
      <c r="BO2240" s="8" t="s">
        <v>79</v>
      </c>
      <c r="CI2240" s="8"/>
      <c r="CN2240" s="8" t="s">
        <v>1328</v>
      </c>
      <c r="CT2240" s="8" t="s">
        <v>1358</v>
      </c>
      <c r="DB2240" s="8"/>
      <c r="DC2240" s="79"/>
    </row>
    <row r="2241" spans="1:107" x14ac:dyDescent="0.25">
      <c r="A2241" s="73" t="s">
        <v>1023</v>
      </c>
      <c r="B2241" s="73" t="s">
        <v>1023</v>
      </c>
      <c r="F2241" s="8" t="s">
        <v>914</v>
      </c>
      <c r="I2241" s="8"/>
      <c r="U2241" s="8" t="s">
        <v>172</v>
      </c>
      <c r="AO2241" s="8" t="s">
        <v>768</v>
      </c>
      <c r="AR2241" s="8"/>
      <c r="BB2241" s="8"/>
      <c r="BN2241" s="8" t="s">
        <v>1248</v>
      </c>
      <c r="BO2241" s="8" t="s">
        <v>422</v>
      </c>
      <c r="CI2241" s="8"/>
      <c r="CN2241" s="8" t="s">
        <v>1329</v>
      </c>
      <c r="CT2241" s="8" t="s">
        <v>1359</v>
      </c>
      <c r="DB2241" s="8"/>
      <c r="DC2241" s="79"/>
    </row>
    <row r="2242" spans="1:107" x14ac:dyDescent="0.25">
      <c r="A2242" s="73" t="s">
        <v>1024</v>
      </c>
      <c r="B2242" s="73" t="s">
        <v>1024</v>
      </c>
      <c r="F2242" s="8" t="s">
        <v>112</v>
      </c>
      <c r="I2242" s="8"/>
      <c r="U2242" s="8" t="s">
        <v>173</v>
      </c>
      <c r="AO2242" s="8" t="s">
        <v>769</v>
      </c>
      <c r="AR2242" s="8"/>
      <c r="BB2242" s="8"/>
      <c r="BN2242" s="8" t="s">
        <v>1249</v>
      </c>
      <c r="BO2242" s="8" t="s">
        <v>423</v>
      </c>
      <c r="CI2242" s="8"/>
      <c r="CN2242" s="8" t="s">
        <v>1330</v>
      </c>
      <c r="CT2242" s="8" t="s">
        <v>1474</v>
      </c>
      <c r="DB2242" s="8"/>
      <c r="DC2242" s="79"/>
    </row>
    <row r="2243" spans="1:107" x14ac:dyDescent="0.25">
      <c r="A2243" s="73" t="s">
        <v>365</v>
      </c>
      <c r="B2243" s="73" t="s">
        <v>365</v>
      </c>
      <c r="F2243" s="8" t="s">
        <v>113</v>
      </c>
      <c r="I2243" s="8"/>
      <c r="U2243" s="8" t="s">
        <v>21</v>
      </c>
      <c r="AO2243" s="8" t="s">
        <v>770</v>
      </c>
      <c r="AR2243" s="8"/>
      <c r="BB2243" s="8"/>
      <c r="BN2243" s="8" t="s">
        <v>387</v>
      </c>
      <c r="BO2243" s="8" t="s">
        <v>80</v>
      </c>
      <c r="CI2243" s="8"/>
      <c r="CN2243" s="8" t="s">
        <v>1331</v>
      </c>
      <c r="CT2243" s="8" t="s">
        <v>1360</v>
      </c>
      <c r="DB2243" s="8"/>
      <c r="DC2243" s="79"/>
    </row>
    <row r="2244" spans="1:107" x14ac:dyDescent="0.25">
      <c r="A2244" s="73" t="s">
        <v>72</v>
      </c>
      <c r="B2244" s="73" t="s">
        <v>72</v>
      </c>
      <c r="F2244" s="8" t="s">
        <v>114</v>
      </c>
      <c r="I2244" s="8"/>
      <c r="U2244" s="8" t="s">
        <v>20</v>
      </c>
      <c r="AO2244" s="8" t="s">
        <v>771</v>
      </c>
      <c r="AR2244" s="8"/>
      <c r="BB2244" s="8"/>
      <c r="BN2244" s="8" t="s">
        <v>1250</v>
      </c>
      <c r="BO2244" s="8" t="s">
        <v>424</v>
      </c>
      <c r="CI2244" s="8"/>
      <c r="CN2244" s="8" t="s">
        <v>1332</v>
      </c>
      <c r="CT2244" s="8" t="s">
        <v>1361</v>
      </c>
      <c r="DB2244" s="8"/>
      <c r="DC2244" s="79"/>
    </row>
    <row r="2245" spans="1:107" x14ac:dyDescent="0.25">
      <c r="A2245" s="73" t="s">
        <v>882</v>
      </c>
      <c r="B2245" s="73" t="s">
        <v>882</v>
      </c>
      <c r="F2245" s="8" t="s">
        <v>115</v>
      </c>
      <c r="I2245" s="8"/>
      <c r="U2245" s="8" t="s">
        <v>23</v>
      </c>
      <c r="AO2245" s="8" t="s">
        <v>772</v>
      </c>
      <c r="AR2245" s="8"/>
      <c r="BB2245" s="8"/>
      <c r="BN2245" s="8" t="s">
        <v>388</v>
      </c>
      <c r="BO2245" s="8" t="s">
        <v>695</v>
      </c>
      <c r="CI2245" s="8"/>
      <c r="CN2245" s="8" t="s">
        <v>1333</v>
      </c>
      <c r="CT2245" s="8" t="s">
        <v>1362</v>
      </c>
      <c r="DB2245" s="8"/>
      <c r="DC2245" s="79"/>
    </row>
    <row r="2246" spans="1:107" x14ac:dyDescent="0.25">
      <c r="A2246" s="73" t="s">
        <v>902</v>
      </c>
      <c r="B2246" s="73" t="s">
        <v>902</v>
      </c>
      <c r="F2246" s="8" t="s">
        <v>116</v>
      </c>
      <c r="I2246" s="8"/>
      <c r="U2246" s="8" t="s">
        <v>174</v>
      </c>
      <c r="AO2246" s="8" t="s">
        <v>773</v>
      </c>
      <c r="AR2246" s="8"/>
      <c r="BB2246" s="8"/>
      <c r="BN2246" s="8" t="s">
        <v>1251</v>
      </c>
      <c r="BO2246" s="8" t="s">
        <v>425</v>
      </c>
      <c r="CI2246" s="8"/>
      <c r="CN2246" s="8" t="s">
        <v>1334</v>
      </c>
      <c r="CT2246" s="8" t="s">
        <v>1363</v>
      </c>
      <c r="DB2246" s="8"/>
      <c r="DC2246" s="79"/>
    </row>
    <row r="2247" spans="1:107" x14ac:dyDescent="0.25">
      <c r="A2247" s="73" t="s">
        <v>883</v>
      </c>
      <c r="B2247" s="73" t="s">
        <v>883</v>
      </c>
      <c r="F2247" s="8" t="s">
        <v>117</v>
      </c>
      <c r="I2247" s="8"/>
      <c r="U2247" s="8" t="s">
        <v>175</v>
      </c>
      <c r="AO2247" s="8" t="s">
        <v>774</v>
      </c>
      <c r="AR2247" s="8"/>
      <c r="BB2247" s="8"/>
      <c r="BN2247" s="8" t="s">
        <v>389</v>
      </c>
      <c r="BO2247" s="8" t="s">
        <v>426</v>
      </c>
      <c r="CI2247" s="8"/>
      <c r="CN2247" s="8" t="s">
        <v>1335</v>
      </c>
      <c r="CT2247" s="8" t="s">
        <v>617</v>
      </c>
      <c r="DB2247" s="8"/>
      <c r="DC2247" s="79"/>
    </row>
    <row r="2248" spans="1:107" x14ac:dyDescent="0.25">
      <c r="A2248" s="73" t="s">
        <v>1025</v>
      </c>
      <c r="B2248" s="73" t="s">
        <v>1025</v>
      </c>
      <c r="F2248" s="8"/>
      <c r="I2248" s="8"/>
      <c r="U2248" s="8" t="s">
        <v>1085</v>
      </c>
      <c r="AO2248" s="8" t="s">
        <v>775</v>
      </c>
      <c r="AR2248" s="8"/>
      <c r="BB2248" s="8"/>
      <c r="BN2248" s="8" t="s">
        <v>1252</v>
      </c>
      <c r="BO2248" s="8" t="s">
        <v>696</v>
      </c>
      <c r="CI2248" s="8"/>
      <c r="CN2248" s="8">
        <v>711</v>
      </c>
      <c r="CT2248" s="8" t="s">
        <v>1364</v>
      </c>
      <c r="DB2248" s="8"/>
      <c r="DC2248" s="79"/>
    </row>
    <row r="2249" spans="1:107" x14ac:dyDescent="0.25">
      <c r="A2249" s="73" t="s">
        <v>1008</v>
      </c>
      <c r="B2249" s="73" t="s">
        <v>1008</v>
      </c>
      <c r="F2249" s="8"/>
      <c r="I2249" s="8"/>
      <c r="U2249" s="8" t="s">
        <v>176</v>
      </c>
      <c r="AO2249" s="8" t="s">
        <v>776</v>
      </c>
      <c r="AR2249" s="8"/>
      <c r="BB2249" s="8"/>
      <c r="BN2249" s="8" t="s">
        <v>390</v>
      </c>
      <c r="BO2249" s="8" t="s">
        <v>81</v>
      </c>
      <c r="CI2249" s="8"/>
      <c r="CN2249" s="8">
        <v>712</v>
      </c>
      <c r="CT2249" s="8" t="s">
        <v>1365</v>
      </c>
    </row>
    <row r="2250" spans="1:107" x14ac:dyDescent="0.25">
      <c r="A2250" s="73" t="s">
        <v>441</v>
      </c>
      <c r="B2250" s="73" t="s">
        <v>441</v>
      </c>
      <c r="F2250" s="8"/>
      <c r="I2250" s="8"/>
      <c r="U2250" s="8" t="s">
        <v>177</v>
      </c>
      <c r="AO2250" s="8" t="s">
        <v>777</v>
      </c>
      <c r="AR2250" s="8"/>
      <c r="BB2250" s="8"/>
      <c r="BN2250" s="8" t="s">
        <v>1253</v>
      </c>
      <c r="BO2250" s="8" t="s">
        <v>427</v>
      </c>
      <c r="CI2250" s="8"/>
      <c r="CN2250" s="8">
        <v>713</v>
      </c>
      <c r="CT2250" s="8" t="s">
        <v>1475</v>
      </c>
    </row>
    <row r="2251" spans="1:107" x14ac:dyDescent="0.25">
      <c r="A2251" s="73" t="s">
        <v>1026</v>
      </c>
      <c r="B2251" s="73" t="s">
        <v>1026</v>
      </c>
      <c r="F2251" s="8"/>
      <c r="I2251" s="8"/>
      <c r="U2251" s="8" t="s">
        <v>666</v>
      </c>
      <c r="AO2251" s="8" t="s">
        <v>778</v>
      </c>
      <c r="AR2251" s="8"/>
      <c r="BB2251" s="8"/>
      <c r="BN2251" s="8" t="s">
        <v>391</v>
      </c>
      <c r="BO2251" s="8" t="s">
        <v>428</v>
      </c>
      <c r="CI2251" s="8"/>
      <c r="CN2251" s="8">
        <v>714</v>
      </c>
      <c r="CT2251" s="8"/>
    </row>
    <row r="2252" spans="1:107" x14ac:dyDescent="0.25">
      <c r="A2252" s="78" t="s">
        <v>446</v>
      </c>
      <c r="B2252" s="78" t="s">
        <v>446</v>
      </c>
      <c r="F2252" s="8"/>
      <c r="I2252" s="8"/>
      <c r="U2252" s="8" t="s">
        <v>667</v>
      </c>
      <c r="AO2252" s="8" t="s">
        <v>779</v>
      </c>
      <c r="AR2252" s="8"/>
      <c r="BB2252" s="8"/>
      <c r="BN2252" s="8" t="s">
        <v>1254</v>
      </c>
      <c r="BO2252" s="8" t="s">
        <v>429</v>
      </c>
      <c r="CI2252" s="8"/>
      <c r="CN2252" s="8">
        <v>715</v>
      </c>
      <c r="CT2252" s="8"/>
    </row>
    <row r="2253" spans="1:107" x14ac:dyDescent="0.25">
      <c r="A2253" s="73" t="s">
        <v>1027</v>
      </c>
      <c r="B2253" s="73" t="s">
        <v>1027</v>
      </c>
      <c r="F2253" s="8"/>
      <c r="I2253" s="8"/>
      <c r="U2253" s="8" t="s">
        <v>872</v>
      </c>
      <c r="AO2253" s="8" t="s">
        <v>780</v>
      </c>
      <c r="AR2253" s="8"/>
      <c r="BB2253" s="8"/>
      <c r="BN2253" s="8" t="s">
        <v>1255</v>
      </c>
      <c r="BO2253" s="8" t="s">
        <v>430</v>
      </c>
      <c r="CI2253" s="8"/>
      <c r="CN2253" s="8">
        <v>82</v>
      </c>
      <c r="CT2253" s="8"/>
    </row>
    <row r="2254" spans="1:107" x14ac:dyDescent="0.25">
      <c r="A2254" s="73" t="s">
        <v>447</v>
      </c>
      <c r="B2254" s="73" t="s">
        <v>447</v>
      </c>
      <c r="F2254" s="8"/>
      <c r="I2254" s="8"/>
      <c r="U2254" s="8" t="s">
        <v>178</v>
      </c>
      <c r="AO2254" s="8" t="s">
        <v>781</v>
      </c>
      <c r="AR2254" s="8"/>
      <c r="BB2254" s="8"/>
      <c r="BN2254" s="8" t="s">
        <v>1256</v>
      </c>
      <c r="BO2254" s="8" t="s">
        <v>1462</v>
      </c>
      <c r="CI2254" s="8"/>
      <c r="CN2254" s="8">
        <v>83</v>
      </c>
      <c r="CT2254" s="8"/>
    </row>
    <row r="2255" spans="1:107" x14ac:dyDescent="0.25">
      <c r="A2255" s="73" t="s">
        <v>452</v>
      </c>
      <c r="B2255" s="73" t="s">
        <v>452</v>
      </c>
      <c r="F2255" s="8"/>
      <c r="I2255" s="8"/>
      <c r="U2255" s="8" t="s">
        <v>36</v>
      </c>
      <c r="AO2255" s="8" t="s">
        <v>782</v>
      </c>
      <c r="AR2255" s="8"/>
      <c r="BB2255" s="8"/>
      <c r="BN2255" s="8" t="s">
        <v>1257</v>
      </c>
      <c r="BO2255" s="8" t="s">
        <v>431</v>
      </c>
      <c r="CI2255" s="8"/>
      <c r="CN2255" s="8" t="s">
        <v>1336</v>
      </c>
      <c r="CT2255" s="8"/>
    </row>
    <row r="2256" spans="1:107" x14ac:dyDescent="0.25">
      <c r="A2256" s="73" t="s">
        <v>460</v>
      </c>
      <c r="B2256" s="73" t="s">
        <v>460</v>
      </c>
      <c r="F2256" s="8"/>
      <c r="I2256" s="8"/>
      <c r="U2256" s="8" t="s">
        <v>948</v>
      </c>
      <c r="AO2256" s="8" t="s">
        <v>783</v>
      </c>
      <c r="AR2256" s="8"/>
      <c r="BB2256" s="8"/>
      <c r="BN2256" s="8" t="s">
        <v>1258</v>
      </c>
      <c r="BO2256" s="8" t="s">
        <v>813</v>
      </c>
      <c r="CI2256" s="8"/>
      <c r="CN2256" s="8" t="s">
        <v>1337</v>
      </c>
      <c r="CT2256" s="8"/>
    </row>
    <row r="2257" spans="1:98" x14ac:dyDescent="0.25">
      <c r="A2257" s="73" t="s">
        <v>904</v>
      </c>
      <c r="B2257" s="73" t="s">
        <v>904</v>
      </c>
      <c r="F2257" s="8"/>
      <c r="I2257" s="8"/>
      <c r="U2257" s="8" t="s">
        <v>179</v>
      </c>
      <c r="AO2257" s="8" t="s">
        <v>784</v>
      </c>
      <c r="AR2257" s="8"/>
      <c r="BB2257" s="8"/>
      <c r="BN2257" s="8" t="s">
        <v>392</v>
      </c>
      <c r="BO2257" s="8" t="s">
        <v>1264</v>
      </c>
      <c r="CI2257" s="8"/>
      <c r="CN2257" s="8">
        <v>833</v>
      </c>
      <c r="CT2257" s="8"/>
    </row>
    <row r="2258" spans="1:98" x14ac:dyDescent="0.25">
      <c r="A2258" s="73" t="s">
        <v>906</v>
      </c>
      <c r="B2258" s="73" t="s">
        <v>906</v>
      </c>
      <c r="F2258" s="8"/>
      <c r="I2258" s="8"/>
      <c r="U2258" s="8" t="s">
        <v>668</v>
      </c>
      <c r="AO2258" s="8" t="s">
        <v>457</v>
      </c>
      <c r="AR2258" s="8"/>
      <c r="BB2258" s="8"/>
      <c r="BN2258" s="8" t="s">
        <v>1259</v>
      </c>
      <c r="BO2258" s="8"/>
      <c r="CI2258" s="8"/>
      <c r="CN2258" s="8" t="s">
        <v>1338</v>
      </c>
      <c r="CT2258" s="8"/>
    </row>
    <row r="2259" spans="1:98" x14ac:dyDescent="0.25">
      <c r="A2259" s="78" t="s">
        <v>1028</v>
      </c>
      <c r="B2259" s="78" t="s">
        <v>1028</v>
      </c>
      <c r="F2259" s="8"/>
      <c r="I2259" s="8"/>
      <c r="U2259" s="8" t="s">
        <v>1086</v>
      </c>
      <c r="AO2259" s="8" t="s">
        <v>279</v>
      </c>
      <c r="AR2259" s="8"/>
      <c r="BB2259" s="8"/>
      <c r="BN2259" s="8" t="s">
        <v>1260</v>
      </c>
      <c r="BO2259" s="8"/>
      <c r="CI2259" s="8"/>
      <c r="CN2259" s="8" t="s">
        <v>1339</v>
      </c>
    </row>
    <row r="2260" spans="1:98" x14ac:dyDescent="0.25">
      <c r="A2260" s="73" t="s">
        <v>464</v>
      </c>
      <c r="B2260" s="73" t="s">
        <v>464</v>
      </c>
      <c r="F2260" s="8"/>
      <c r="U2260" s="8"/>
      <c r="AO2260" s="8" t="s">
        <v>280</v>
      </c>
      <c r="AR2260" s="8"/>
      <c r="BN2260" s="8" t="s">
        <v>393</v>
      </c>
      <c r="BO2260" s="8"/>
      <c r="CI2260" s="8"/>
      <c r="CN2260" s="8">
        <v>836</v>
      </c>
    </row>
    <row r="2261" spans="1:98" x14ac:dyDescent="0.25">
      <c r="A2261" s="73" t="s">
        <v>476</v>
      </c>
      <c r="B2261" s="73" t="s">
        <v>476</v>
      </c>
      <c r="F2261" s="8"/>
      <c r="U2261" s="8"/>
      <c r="AO2261" s="8" t="s">
        <v>281</v>
      </c>
      <c r="AR2261" s="8"/>
      <c r="BN2261" s="8"/>
      <c r="BO2261" s="8"/>
      <c r="CI2261" s="8"/>
      <c r="CN2261" s="8">
        <v>902</v>
      </c>
    </row>
    <row r="2262" spans="1:98" x14ac:dyDescent="0.25">
      <c r="A2262" s="73" t="s">
        <v>907</v>
      </c>
      <c r="B2262" s="73" t="s">
        <v>907</v>
      </c>
      <c r="F2262" s="8"/>
      <c r="U2262" s="8"/>
      <c r="AO2262" s="8" t="s">
        <v>282</v>
      </c>
      <c r="AR2262" s="8"/>
      <c r="BN2262" s="8"/>
      <c r="CI2262" s="8"/>
      <c r="CN2262" s="8">
        <v>905</v>
      </c>
    </row>
    <row r="2263" spans="1:98" x14ac:dyDescent="0.25">
      <c r="A2263" s="73" t="s">
        <v>844</v>
      </c>
      <c r="B2263" s="73" t="s">
        <v>844</v>
      </c>
      <c r="F2263" s="8"/>
      <c r="U2263" s="8"/>
      <c r="AO2263" s="8" t="s">
        <v>30</v>
      </c>
      <c r="AR2263" s="8"/>
      <c r="BN2263" s="8"/>
      <c r="CI2263" s="8"/>
      <c r="CN2263" s="8">
        <v>908</v>
      </c>
    </row>
    <row r="2264" spans="1:98" x14ac:dyDescent="0.25">
      <c r="A2264" s="73" t="s">
        <v>481</v>
      </c>
      <c r="B2264" s="73" t="s">
        <v>481</v>
      </c>
      <c r="F2264" s="8"/>
      <c r="U2264" s="8"/>
      <c r="AO2264" s="8" t="s">
        <v>674</v>
      </c>
      <c r="AR2264" s="8"/>
      <c r="BN2264" s="8"/>
      <c r="CI2264" s="8"/>
      <c r="CN2264" s="8">
        <v>911</v>
      </c>
    </row>
    <row r="2265" spans="1:98" x14ac:dyDescent="0.25">
      <c r="A2265" s="73" t="s">
        <v>993</v>
      </c>
      <c r="B2265" s="73" t="s">
        <v>993</v>
      </c>
      <c r="F2265" s="8"/>
      <c r="U2265" s="8"/>
      <c r="AO2265" s="8" t="s">
        <v>961</v>
      </c>
      <c r="AR2265" s="8"/>
      <c r="BN2265" s="8"/>
      <c r="CI2265" s="8"/>
      <c r="CN2265" s="8">
        <v>920</v>
      </c>
    </row>
    <row r="2266" spans="1:98" x14ac:dyDescent="0.25">
      <c r="A2266" s="73" t="s">
        <v>531</v>
      </c>
      <c r="B2266" s="73" t="s">
        <v>531</v>
      </c>
      <c r="F2266" s="8"/>
      <c r="U2266" s="8"/>
      <c r="AO2266" s="8" t="s">
        <v>283</v>
      </c>
      <c r="AR2266" s="8"/>
      <c r="BN2266" s="8"/>
      <c r="CI2266" s="8"/>
      <c r="CN2266" s="8" t="s">
        <v>849</v>
      </c>
    </row>
    <row r="2267" spans="1:98" x14ac:dyDescent="0.25">
      <c r="A2267" s="78" t="s">
        <v>1029</v>
      </c>
      <c r="B2267" s="78" t="s">
        <v>1029</v>
      </c>
      <c r="F2267" s="8"/>
      <c r="U2267" s="8"/>
      <c r="AO2267" s="8" t="s">
        <v>284</v>
      </c>
      <c r="AR2267" s="8"/>
      <c r="BN2267" s="8"/>
      <c r="CI2267" s="8"/>
      <c r="CN2267" s="8" t="s">
        <v>909</v>
      </c>
    </row>
    <row r="2268" spans="1:98" x14ac:dyDescent="0.25">
      <c r="A2268" s="73" t="s">
        <v>532</v>
      </c>
      <c r="B2268" s="73" t="s">
        <v>532</v>
      </c>
      <c r="F2268" s="8"/>
      <c r="U2268" s="8"/>
      <c r="AO2268" s="8" t="s">
        <v>29</v>
      </c>
      <c r="AR2268" s="8"/>
      <c r="BN2268" s="8"/>
      <c r="CI2268" s="8"/>
      <c r="CN2268" s="8" t="s">
        <v>558</v>
      </c>
    </row>
    <row r="2269" spans="1:98" x14ac:dyDescent="0.25">
      <c r="A2269" s="78" t="s">
        <v>1030</v>
      </c>
      <c r="B2269" s="78" t="s">
        <v>1030</v>
      </c>
      <c r="F2269" s="8"/>
      <c r="U2269" s="8"/>
      <c r="AO2269" s="8" t="s">
        <v>285</v>
      </c>
      <c r="CI2269" s="8"/>
      <c r="CN2269" s="8" t="s">
        <v>559</v>
      </c>
    </row>
    <row r="2270" spans="1:98" x14ac:dyDescent="0.25">
      <c r="A2270" s="73" t="s">
        <v>551</v>
      </c>
      <c r="B2270" s="73" t="s">
        <v>551</v>
      </c>
      <c r="F2270" s="8"/>
      <c r="U2270" s="8"/>
      <c r="AO2270" s="8" t="s">
        <v>286</v>
      </c>
      <c r="CI2270" s="8"/>
      <c r="CN2270" s="8" t="s">
        <v>560</v>
      </c>
    </row>
    <row r="2271" spans="1:98" x14ac:dyDescent="0.25">
      <c r="A2271" s="73" t="s">
        <v>552</v>
      </c>
      <c r="B2271" s="73" t="s">
        <v>552</v>
      </c>
      <c r="F2271" s="8"/>
      <c r="U2271" s="8"/>
      <c r="AO2271" s="8" t="s">
        <v>287</v>
      </c>
      <c r="CI2271" s="8"/>
      <c r="CN2271" s="8" t="s">
        <v>561</v>
      </c>
    </row>
    <row r="2272" spans="1:98" x14ac:dyDescent="0.25">
      <c r="A2272" s="73" t="s">
        <v>859</v>
      </c>
      <c r="B2272" s="73" t="s">
        <v>859</v>
      </c>
      <c r="F2272" s="8"/>
      <c r="U2272" s="8"/>
      <c r="AO2272" s="8" t="s">
        <v>288</v>
      </c>
      <c r="CI2272" s="8"/>
      <c r="CN2272" s="8" t="s">
        <v>562</v>
      </c>
    </row>
    <row r="2273" spans="1:92" x14ac:dyDescent="0.25">
      <c r="A2273" s="73" t="s">
        <v>37</v>
      </c>
      <c r="B2273" s="73" t="s">
        <v>37</v>
      </c>
      <c r="F2273" s="8"/>
      <c r="U2273" s="8"/>
      <c r="AO2273" s="8" t="s">
        <v>289</v>
      </c>
      <c r="CI2273" s="8"/>
      <c r="CN2273" s="8" t="s">
        <v>850</v>
      </c>
    </row>
    <row r="2274" spans="1:92" x14ac:dyDescent="0.25">
      <c r="A2274" s="73" t="s">
        <v>566</v>
      </c>
      <c r="B2274" s="73" t="s">
        <v>566</v>
      </c>
      <c r="F2274" s="8"/>
      <c r="U2274" s="8"/>
      <c r="AO2274" s="8" t="s">
        <v>290</v>
      </c>
      <c r="CI2274" s="8"/>
      <c r="CN2274" s="8" t="s">
        <v>563</v>
      </c>
    </row>
    <row r="2275" spans="1:92" x14ac:dyDescent="0.25">
      <c r="A2275" s="73" t="s">
        <v>571</v>
      </c>
      <c r="B2275" s="73" t="s">
        <v>571</v>
      </c>
      <c r="F2275" s="8"/>
      <c r="U2275" s="8"/>
      <c r="AO2275" s="8" t="s">
        <v>291</v>
      </c>
      <c r="CI2275" s="8"/>
      <c r="CN2275" s="8" t="s">
        <v>564</v>
      </c>
    </row>
    <row r="2276" spans="1:92" x14ac:dyDescent="0.25">
      <c r="A2276" s="73" t="s">
        <v>1005</v>
      </c>
      <c r="B2276" s="73" t="s">
        <v>1005</v>
      </c>
      <c r="F2276" s="8"/>
      <c r="AO2276" s="8" t="s">
        <v>16</v>
      </c>
      <c r="CI2276" s="8"/>
      <c r="CN2276" s="8" t="s">
        <v>851</v>
      </c>
    </row>
    <row r="2277" spans="1:92" x14ac:dyDescent="0.25">
      <c r="A2277" s="78" t="s">
        <v>1031</v>
      </c>
      <c r="B2277" s="78" t="s">
        <v>1031</v>
      </c>
      <c r="F2277" s="8"/>
      <c r="AO2277" s="8" t="s">
        <v>292</v>
      </c>
      <c r="CI2277" s="8"/>
      <c r="CN2277" s="8" t="s">
        <v>1340</v>
      </c>
    </row>
    <row r="2278" spans="1:92" x14ac:dyDescent="0.25">
      <c r="A2278" s="73" t="s">
        <v>622</v>
      </c>
      <c r="B2278" s="73" t="s">
        <v>622</v>
      </c>
      <c r="F2278" s="8"/>
      <c r="AO2278" s="8" t="s">
        <v>293</v>
      </c>
      <c r="CI2278" s="8"/>
      <c r="CN2278" s="8" t="s">
        <v>910</v>
      </c>
    </row>
    <row r="2279" spans="1:92" x14ac:dyDescent="0.25">
      <c r="A2279" s="73" t="s">
        <v>866</v>
      </c>
      <c r="B2279" s="73" t="s">
        <v>866</v>
      </c>
      <c r="F2279" s="8"/>
      <c r="AO2279" s="8" t="s">
        <v>294</v>
      </c>
      <c r="CI2279" s="8"/>
      <c r="CN2279" s="8" t="s">
        <v>852</v>
      </c>
    </row>
    <row r="2280" spans="1:92" x14ac:dyDescent="0.25">
      <c r="A2280" s="73" t="s">
        <v>1425</v>
      </c>
      <c r="B2280" s="73" t="s">
        <v>1425</v>
      </c>
      <c r="F2280" s="8"/>
      <c r="AO2280" s="8" t="s">
        <v>295</v>
      </c>
      <c r="CI2280" s="8"/>
      <c r="CN2280" s="8" t="s">
        <v>853</v>
      </c>
    </row>
    <row r="2281" spans="1:92" x14ac:dyDescent="0.25">
      <c r="A2281" s="78" t="s">
        <v>1032</v>
      </c>
      <c r="B2281" s="78" t="s">
        <v>1032</v>
      </c>
      <c r="F2281" s="8"/>
      <c r="AO2281" s="8" t="s">
        <v>296</v>
      </c>
      <c r="CI2281" s="8"/>
      <c r="CN2281" s="8" t="s">
        <v>1341</v>
      </c>
    </row>
    <row r="2282" spans="1:92" x14ac:dyDescent="0.25">
      <c r="A2282" s="78" t="s">
        <v>1033</v>
      </c>
      <c r="B2282" s="78" t="s">
        <v>1033</v>
      </c>
      <c r="F2282" s="8"/>
      <c r="AO2282" s="8" t="s">
        <v>297</v>
      </c>
      <c r="CI2282" s="8"/>
      <c r="CN2282" s="8" t="s">
        <v>854</v>
      </c>
    </row>
    <row r="2283" spans="1:92" x14ac:dyDescent="0.25">
      <c r="A2283" s="73" t="s">
        <v>52</v>
      </c>
      <c r="B2283" s="73" t="s">
        <v>52</v>
      </c>
      <c r="F2283" s="8"/>
      <c r="AO2283" s="8" t="s">
        <v>298</v>
      </c>
      <c r="CI2283" s="8"/>
      <c r="CN2283" s="8" t="s">
        <v>855</v>
      </c>
    </row>
    <row r="2284" spans="1:92" x14ac:dyDescent="0.25">
      <c r="A2284" s="78" t="s">
        <v>1034</v>
      </c>
      <c r="B2284" s="78" t="s">
        <v>1034</v>
      </c>
      <c r="F2284" s="8"/>
      <c r="AO2284" s="8" t="s">
        <v>299</v>
      </c>
      <c r="CI2284" s="8"/>
      <c r="CN2284" s="8" t="s">
        <v>1342</v>
      </c>
    </row>
    <row r="2285" spans="1:92" x14ac:dyDescent="0.25">
      <c r="A2285" s="73" t="s">
        <v>626</v>
      </c>
      <c r="B2285" s="73" t="s">
        <v>626</v>
      </c>
      <c r="F2285" s="8"/>
      <c r="AO2285" s="8" t="s">
        <v>300</v>
      </c>
      <c r="CI2285" s="8"/>
      <c r="CN2285" s="8" t="s">
        <v>1343</v>
      </c>
    </row>
    <row r="2286" spans="1:92" x14ac:dyDescent="0.25">
      <c r="F2286" s="8"/>
      <c r="AO2286" s="8" t="s">
        <v>301</v>
      </c>
      <c r="CI2286" s="8"/>
      <c r="CN2286" s="8" t="s">
        <v>1344</v>
      </c>
    </row>
    <row r="2287" spans="1:92" x14ac:dyDescent="0.25">
      <c r="F2287" s="8"/>
      <c r="AO2287" s="8" t="s">
        <v>302</v>
      </c>
      <c r="CI2287" s="8"/>
      <c r="CN2287" s="8" t="s">
        <v>856</v>
      </c>
    </row>
    <row r="2288" spans="1:92" x14ac:dyDescent="0.25">
      <c r="F2288" s="8"/>
      <c r="AO2288" s="8" t="s">
        <v>641</v>
      </c>
      <c r="CI2288" s="8"/>
      <c r="CN2288" s="8" t="s">
        <v>857</v>
      </c>
    </row>
    <row r="2289" spans="6:92" x14ac:dyDescent="0.25">
      <c r="F2289" s="8"/>
      <c r="AO2289" s="8" t="s">
        <v>642</v>
      </c>
      <c r="CI2289" s="8"/>
      <c r="CN2289" s="8"/>
    </row>
    <row r="2290" spans="6:92" x14ac:dyDescent="0.25">
      <c r="F2290" s="8"/>
      <c r="AO2290" s="8" t="s">
        <v>785</v>
      </c>
      <c r="CI2290" s="8"/>
      <c r="CN2290" s="8"/>
    </row>
    <row r="2291" spans="6:92" x14ac:dyDescent="0.25">
      <c r="F2291" s="8"/>
      <c r="AO2291" s="8"/>
      <c r="CI2291" s="8"/>
      <c r="CN2291" s="8"/>
    </row>
    <row r="2292" spans="6:92" x14ac:dyDescent="0.25">
      <c r="F2292" s="8"/>
      <c r="AO2292" s="8"/>
      <c r="CI2292" s="8"/>
      <c r="CN2292" s="8"/>
    </row>
    <row r="2293" spans="6:92" x14ac:dyDescent="0.25">
      <c r="F2293" s="8"/>
      <c r="AO2293" s="8"/>
      <c r="CI2293" s="8"/>
      <c r="CN2293" s="8"/>
    </row>
    <row r="2294" spans="6:92" x14ac:dyDescent="0.25">
      <c r="F2294" s="8"/>
      <c r="AO2294" s="8"/>
      <c r="CI2294" s="8"/>
      <c r="CN2294" s="8"/>
    </row>
    <row r="2295" spans="6:92" x14ac:dyDescent="0.25">
      <c r="F2295" s="8"/>
      <c r="AO2295" s="8"/>
      <c r="CI2295" s="8"/>
      <c r="CN2295" s="8"/>
    </row>
    <row r="2296" spans="6:92" x14ac:dyDescent="0.25">
      <c r="F2296" s="8"/>
      <c r="AO2296" s="8"/>
      <c r="CI2296" s="8"/>
      <c r="CN2296" s="8"/>
    </row>
    <row r="2297" spans="6:92" x14ac:dyDescent="0.25">
      <c r="F2297" s="8"/>
      <c r="AO2297" s="8"/>
      <c r="CI2297" s="8"/>
    </row>
    <row r="2298" spans="6:92" x14ac:dyDescent="0.25">
      <c r="F2298" s="8"/>
      <c r="AO2298" s="8"/>
      <c r="CI2298" s="8"/>
    </row>
    <row r="2299" spans="6:92" x14ac:dyDescent="0.25">
      <c r="F2299" s="8"/>
      <c r="AO2299" s="8"/>
      <c r="CI2299" s="8"/>
    </row>
    <row r="2300" spans="6:92" x14ac:dyDescent="0.25">
      <c r="F2300" s="8"/>
      <c r="AO2300" s="8"/>
      <c r="CI2300" s="8"/>
    </row>
    <row r="2301" spans="6:92" x14ac:dyDescent="0.25">
      <c r="F2301" s="8"/>
      <c r="CI2301" s="8"/>
    </row>
    <row r="2302" spans="6:92" x14ac:dyDescent="0.25">
      <c r="F2302" s="8"/>
      <c r="CI2302" s="8"/>
    </row>
    <row r="2303" spans="6:92" x14ac:dyDescent="0.25">
      <c r="F2303" s="8"/>
      <c r="CI2303" s="8"/>
    </row>
    <row r="2304" spans="6:92" x14ac:dyDescent="0.25">
      <c r="F2304" s="8"/>
      <c r="CI2304" s="8"/>
    </row>
    <row r="2305" spans="6:87" x14ac:dyDescent="0.25">
      <c r="F2305" s="8"/>
      <c r="CI2305" s="8"/>
    </row>
    <row r="2306" spans="6:87" x14ac:dyDescent="0.25">
      <c r="F2306" s="8"/>
      <c r="CI2306" s="8"/>
    </row>
    <row r="2307" spans="6:87" x14ac:dyDescent="0.25">
      <c r="F2307" s="8"/>
      <c r="CI2307" s="8"/>
    </row>
    <row r="2308" spans="6:87" x14ac:dyDescent="0.25">
      <c r="F2308" s="8"/>
    </row>
    <row r="2309" spans="6:87" x14ac:dyDescent="0.25">
      <c r="F2309" s="8"/>
    </row>
    <row r="2310" spans="6:87" x14ac:dyDescent="0.25">
      <c r="F2310" s="8"/>
    </row>
    <row r="2311" spans="6:87" x14ac:dyDescent="0.25">
      <c r="F2311" s="8"/>
    </row>
    <row r="2312" spans="6:87" x14ac:dyDescent="0.25">
      <c r="F2312" s="8"/>
    </row>
    <row r="2313" spans="6:87" x14ac:dyDescent="0.25">
      <c r="F2313" s="8"/>
    </row>
    <row r="2314" spans="6:87" x14ac:dyDescent="0.25">
      <c r="F2314" s="8"/>
    </row>
    <row r="2315" spans="6:87" x14ac:dyDescent="0.25">
      <c r="F2315" s="8"/>
    </row>
    <row r="2316" spans="6:87" x14ac:dyDescent="0.25">
      <c r="F2316" s="8"/>
    </row>
    <row r="2317" spans="6:87" x14ac:dyDescent="0.25">
      <c r="F2317" s="8"/>
    </row>
    <row r="2318" spans="6:87" x14ac:dyDescent="0.25">
      <c r="F2318" s="8"/>
    </row>
    <row r="2319" spans="6:87" x14ac:dyDescent="0.25">
      <c r="F2319" s="8"/>
    </row>
    <row r="2320" spans="6:87" x14ac:dyDescent="0.25">
      <c r="F2320" s="8"/>
    </row>
    <row r="2321" spans="6:6" x14ac:dyDescent="0.25">
      <c r="F2321" s="8"/>
    </row>
    <row r="2322" spans="6:6" x14ac:dyDescent="0.25">
      <c r="F2322" s="8"/>
    </row>
    <row r="2323" spans="6:6" x14ac:dyDescent="0.25">
      <c r="F2323" s="8"/>
    </row>
    <row r="2324" spans="6:6" x14ac:dyDescent="0.25">
      <c r="F2324" s="8"/>
    </row>
    <row r="2325" spans="6:6" x14ac:dyDescent="0.25">
      <c r="F2325" s="8"/>
    </row>
    <row r="2326" spans="6:6" x14ac:dyDescent="0.25">
      <c r="F2326" s="8"/>
    </row>
    <row r="2327" spans="6:6" x14ac:dyDescent="0.25">
      <c r="F2327" s="8"/>
    </row>
    <row r="2328" spans="6:6" x14ac:dyDescent="0.25">
      <c r="F2328" s="8"/>
    </row>
    <row r="2329" spans="6:6" x14ac:dyDescent="0.25">
      <c r="F2329" s="8"/>
    </row>
    <row r="2330" spans="6:6" x14ac:dyDescent="0.25">
      <c r="F2330" s="8"/>
    </row>
    <row r="2331" spans="6:6" x14ac:dyDescent="0.25">
      <c r="F2331" s="8"/>
    </row>
    <row r="2332" spans="6:6" x14ac:dyDescent="0.25">
      <c r="F2332" s="8"/>
    </row>
    <row r="2333" spans="6:6" x14ac:dyDescent="0.25">
      <c r="F2333" s="8"/>
    </row>
    <row r="2334" spans="6:6" x14ac:dyDescent="0.25">
      <c r="F2334" s="8"/>
    </row>
  </sheetData>
  <protectedRanges>
    <protectedRange sqref="L4:L1735" name="Notes"/>
  </protectedRanges>
  <autoFilter ref="A1:A2090" xr:uid="{00000000-0009-0000-0000-000002000000}"/>
  <phoneticPr fontId="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topLeftCell="A121" workbookViewId="0">
      <selection activeCell="B159" sqref="B159"/>
    </sheetView>
  </sheetViews>
  <sheetFormatPr defaultRowHeight="15" x14ac:dyDescent="0.25"/>
  <cols>
    <col min="1" max="1" width="17.5703125" customWidth="1"/>
    <col min="2" max="2" width="16" customWidth="1"/>
    <col min="3" max="3" width="20.42578125" customWidth="1"/>
  </cols>
  <sheetData>
    <row r="1" spans="1:4" x14ac:dyDescent="0.25">
      <c r="A1" t="s">
        <v>633</v>
      </c>
      <c r="B1" t="s">
        <v>4</v>
      </c>
      <c r="C1" t="s">
        <v>634</v>
      </c>
      <c r="D1" t="s">
        <v>635</v>
      </c>
    </row>
    <row r="2" spans="1:4" x14ac:dyDescent="0.25">
      <c r="A2">
        <f>IFERROR(SMALL('Order Sheet'!A:A,1),"")</f>
        <v>2000000944</v>
      </c>
      <c r="B2" t="str">
        <f>IF(A2="","",(VLOOKUP(A2,'Order Sheet'!A:B,2,FALSE)))</f>
        <v>QCELL</v>
      </c>
      <c r="C2" t="str">
        <f>IF(A2="","",(VLOOKUP(A2,'Order Sheet'!A:C,3,FALSE)))</f>
        <v>Q.PEAK DUO BLK ML-G10+ 400</v>
      </c>
      <c r="D2">
        <f>IF(A2="","",(VLOOKUP(A2,'Order Sheet'!A:E,5,FALSE)))</f>
        <v>15</v>
      </c>
    </row>
    <row r="3" spans="1:4" x14ac:dyDescent="0.25">
      <c r="A3">
        <f>IFERROR(SMALL('Order Sheet'!A:A,2),"")</f>
        <v>4000000099</v>
      </c>
      <c r="B3" t="str">
        <f>IF(A3="","",(VLOOKUP(A3,'Order Sheet'!A:B,2,FALSE)))</f>
        <v>BPT</v>
      </c>
      <c r="C3" t="str">
        <f>IF(A3="","",(VLOOKUP(A3,'Order Sheet'!A:C,3,FALSE)))</f>
        <v>382DC</v>
      </c>
      <c r="D3">
        <f>IF(A3="","",(VLOOKUP(A3,'Order Sheet'!A:E,5,FALSE)))</f>
        <v>2</v>
      </c>
    </row>
    <row r="4" spans="1:4" x14ac:dyDescent="0.25">
      <c r="A4">
        <f>IFERROR(SMALL('Order Sheet'!A:A,3),"")</f>
        <v>4000000118</v>
      </c>
      <c r="B4" t="str">
        <f>IF(A4="","",(VLOOKUP(A4,'Order Sheet'!A:B,2,FALSE)))</f>
        <v>BPT</v>
      </c>
      <c r="C4" t="str">
        <f>IF(A4="","",(VLOOKUP(A4,'Order Sheet'!A:C,3,FALSE)))</f>
        <v xml:space="preserve">SR075               </v>
      </c>
      <c r="D4">
        <f>IF(A4="","",(VLOOKUP(A4,'Order Sheet'!A:E,5,FALSE)))</f>
        <v>5</v>
      </c>
    </row>
    <row r="5" spans="1:4" x14ac:dyDescent="0.25">
      <c r="A5">
        <f>IFERROR(SMALL('Order Sheet'!A:A,4),"")</f>
        <v>4000000143</v>
      </c>
      <c r="B5" t="str">
        <f>IF(A5="","",(VLOOKUP(A5,'Order Sheet'!A:B,2,FALSE)))</f>
        <v>CHEML</v>
      </c>
      <c r="C5" t="str">
        <f>IF(A5="","",(VLOOKUP(A5,'Order Sheet'!A:C,3,FALSE)))</f>
        <v>F1270GR</v>
      </c>
      <c r="D5">
        <f>IF(A5="","",(VLOOKUP(A5,'Order Sheet'!A:E,5,FALSE)))</f>
        <v>1</v>
      </c>
    </row>
    <row r="6" spans="1:4" x14ac:dyDescent="0.25">
      <c r="A6">
        <f>IFERROR(SMALL('Order Sheet'!A:A,5),"")</f>
        <v>4000001225</v>
      </c>
      <c r="B6" t="str">
        <f>IF(A6="","",(VLOOKUP(A6,'Order Sheet'!A:B,2,FALSE)))</f>
        <v>SWIRE</v>
      </c>
      <c r="C6">
        <f>IF(A6="","",(VLOOKUP(A6,'Order Sheet'!A:C,3,FALSE)))</f>
        <v>282</v>
      </c>
      <c r="D6">
        <f>IF(A6="","",(VLOOKUP(A6,'Order Sheet'!A:E,5,FALSE)))</f>
        <v>5</v>
      </c>
    </row>
    <row r="7" spans="1:4" x14ac:dyDescent="0.25">
      <c r="A7">
        <f>IFERROR(SMALL('Order Sheet'!A:A,6),"")</f>
        <v>4000001234</v>
      </c>
      <c r="B7" t="str">
        <f>IF(A7="","",(VLOOKUP(A7,'Order Sheet'!A:B,2,FALSE)))</f>
        <v>SWIRE</v>
      </c>
      <c r="C7" t="str">
        <f>IF(A7="","",(VLOOKUP(A7,'Order Sheet'!A:C,3,FALSE)))</f>
        <v>452TZ</v>
      </c>
      <c r="D7">
        <f>IF(A7="","",(VLOOKUP(A7,'Order Sheet'!A:E,5,FALSE)))</f>
        <v>4</v>
      </c>
    </row>
    <row r="8" spans="1:4" x14ac:dyDescent="0.25">
      <c r="A8">
        <f>IFERROR(SMALL('Order Sheet'!A:A,7),"")</f>
        <v>4000001283</v>
      </c>
      <c r="B8" t="str">
        <f>IF(A8="","",(VLOOKUP(A8,'Order Sheet'!A:B,2,FALSE)))</f>
        <v>SWIRE</v>
      </c>
      <c r="C8" t="str">
        <f>IF(A8="","",(VLOOKUP(A8,'Order Sheet'!A:C,3,FALSE)))</f>
        <v>832TZ</v>
      </c>
      <c r="D8">
        <f>IF(A8="","",(VLOOKUP(A8,'Order Sheet'!A:E,5,FALSE)))</f>
        <v>5</v>
      </c>
    </row>
    <row r="9" spans="1:4" x14ac:dyDescent="0.25">
      <c r="A9">
        <f>IFERROR(SMALL('Order Sheet'!A:A,8),"")</f>
        <v>6000000196</v>
      </c>
      <c r="B9" t="str">
        <f>IF(A9="","",(VLOOKUP(A9,'Order Sheet'!A:B,2,FALSE)))</f>
        <v>EATON</v>
      </c>
      <c r="C9" t="str">
        <f>IF(A9="","",(VLOOKUP(A9,'Order Sheet'!A:C,3,FALSE)))</f>
        <v>BR220</v>
      </c>
      <c r="D9">
        <f>IF(A9="","",(VLOOKUP(A9,'Order Sheet'!A:E,5,FALSE)))</f>
        <v>2</v>
      </c>
    </row>
    <row r="10" spans="1:4" x14ac:dyDescent="0.25">
      <c r="A10">
        <f>IFERROR(SMALL('Order Sheet'!A:A,9),"")</f>
        <v>6000000248</v>
      </c>
      <c r="B10" t="str">
        <f>IF(A10="","",(VLOOKUP(A10,'Order Sheet'!A:B,2,FALSE)))</f>
        <v>EATON</v>
      </c>
      <c r="C10" t="str">
        <f>IF(A10="","",(VLOOKUP(A10,'Order Sheet'!A:C,3,FALSE)))</f>
        <v>DG222URB</v>
      </c>
      <c r="D10">
        <f>IF(A10="","",(VLOOKUP(A10,'Order Sheet'!A:E,5,FALSE)))</f>
        <v>1</v>
      </c>
    </row>
    <row r="11" spans="1:4" x14ac:dyDescent="0.25">
      <c r="A11">
        <f>IFERROR(SMALL('Order Sheet'!A:A,10),"")</f>
        <v>6000000358</v>
      </c>
      <c r="B11" t="str">
        <f>IF(A11="","",(VLOOKUP(A11,'Order Sheet'!A:B,2,FALSE)))</f>
        <v>EZSLR</v>
      </c>
      <c r="C11" t="str">
        <f>IF(A11="","",(VLOOKUP(A11,'Order Sheet'!A:C,3,FALSE)))</f>
        <v>JB-1.2</v>
      </c>
      <c r="D11">
        <f>IF(A11="","",(VLOOKUP(A11,'Order Sheet'!A:E,5,FALSE)))</f>
        <v>1</v>
      </c>
    </row>
    <row r="12" spans="1:4" x14ac:dyDescent="0.25">
      <c r="A12">
        <f>IFERROR(SMALL('Order Sheet'!A:A,11),"")</f>
        <v>6000000373</v>
      </c>
      <c r="B12" t="str">
        <f>IF(A12="","",(VLOOKUP(A12,'Order Sheet'!A:B,2,FALSE)))</f>
        <v>FLEX</v>
      </c>
      <c r="C12" t="str">
        <f>IF(A12="","",(VLOOKUP(A12,'Order Sheet'!A:C,3,FALSE)))</f>
        <v>RWA-3/4</v>
      </c>
      <c r="D12">
        <f>IF(A12="","",(VLOOKUP(A12,'Order Sheet'!A:E,5,FALSE)))</f>
        <v>100</v>
      </c>
    </row>
    <row r="13" spans="1:4" x14ac:dyDescent="0.25">
      <c r="A13">
        <f>IFERROR(SMALL('Order Sheet'!A:A,12),"")</f>
        <v>6000000737</v>
      </c>
      <c r="B13" t="str">
        <f>IF(A13="","",(VLOOKUP(A13,'Order Sheet'!A:B,2,FALSE)))</f>
        <v>NSI</v>
      </c>
      <c r="C13">
        <f>IF(A13="","",(VLOOKUP(A13,'Order Sheet'!A:C,3,FALSE)))</f>
        <v>11500</v>
      </c>
      <c r="D13">
        <f>IF(A13="","",(VLOOKUP(A13,'Order Sheet'!A:E,5,FALSE)))</f>
        <v>1</v>
      </c>
    </row>
    <row r="14" spans="1:4" x14ac:dyDescent="0.25">
      <c r="A14">
        <f>IFERROR(SMALL('Order Sheet'!A:A,13),"")</f>
        <v>6000000789</v>
      </c>
      <c r="B14" t="str">
        <f>IF(A14="","",(VLOOKUP(A14,'Order Sheet'!A:B,2,FALSE)))</f>
        <v>PVC</v>
      </c>
      <c r="C14" t="str">
        <f>IF(A14="","",(VLOOKUP(A14,'Order Sheet'!A:C,3,FALSE)))</f>
        <v>COND-3/4</v>
      </c>
      <c r="D14">
        <f>IF(A14="","",(VLOOKUP(A14,'Order Sheet'!A:E,5,FALSE)))</f>
        <v>1</v>
      </c>
    </row>
    <row r="15" spans="1:4" x14ac:dyDescent="0.25">
      <c r="A15">
        <f>IFERROR(SMALL('Order Sheet'!A:A,14),"")</f>
        <v>6000000806</v>
      </c>
      <c r="B15" t="str">
        <f>IF(A15="","",(VLOOKUP(A15,'Order Sheet'!A:B,2,FALSE)))</f>
        <v>PVC</v>
      </c>
      <c r="C15" t="str">
        <f>IF(A15="","",(VLOOKUP(A15,'Order Sheet'!A:C,3,FALSE)))</f>
        <v>EL-3/4</v>
      </c>
      <c r="D15">
        <f>IF(A15="","",(VLOOKUP(A15,'Order Sheet'!A:E,5,FALSE)))</f>
        <v>1</v>
      </c>
    </row>
    <row r="16" spans="1:4" x14ac:dyDescent="0.25">
      <c r="A16">
        <f>IFERROR(SMALL('Order Sheet'!A:A,15),"")</f>
        <v>6000000824</v>
      </c>
      <c r="B16" t="str">
        <f>IF(A16="","",(VLOOKUP(A16,'Order Sheet'!A:B,2,FALSE)))</f>
        <v>PVC</v>
      </c>
      <c r="C16" t="str">
        <f>IF(A16="","",(VLOOKUP(A16,'Order Sheet'!A:C,3,FALSE)))</f>
        <v>FA-3/4</v>
      </c>
      <c r="D16">
        <f>IF(A16="","",(VLOOKUP(A16,'Order Sheet'!A:E,5,FALSE)))</f>
        <v>1</v>
      </c>
    </row>
    <row r="17" spans="1:4" x14ac:dyDescent="0.25">
      <c r="A17">
        <f>IFERROR(SMALL('Order Sheet'!A:A,16),"")</f>
        <v>6000000842</v>
      </c>
      <c r="B17" t="str">
        <f>IF(A17="","",(VLOOKUP(A17,'Order Sheet'!A:B,2,FALSE)))</f>
        <v>PVC</v>
      </c>
      <c r="C17" t="str">
        <f>IF(A17="","",(VLOOKUP(A17,'Order Sheet'!A:C,3,FALSE)))</f>
        <v>LL-3/4</v>
      </c>
      <c r="D17">
        <f>IF(A17="","",(VLOOKUP(A17,'Order Sheet'!A:E,5,FALSE)))</f>
        <v>1</v>
      </c>
    </row>
    <row r="18" spans="1:4" x14ac:dyDescent="0.25">
      <c r="A18">
        <f>IFERROR(SMALL('Order Sheet'!A:A,17),"")</f>
        <v>6000000854</v>
      </c>
      <c r="B18" t="str">
        <f>IF(A18="","",(VLOOKUP(A18,'Order Sheet'!A:B,2,FALSE)))</f>
        <v>PVC</v>
      </c>
      <c r="C18" t="str">
        <f>IF(A18="","",(VLOOKUP(A18,'Order Sheet'!A:C,3,FALSE)))</f>
        <v>TA-3/4</v>
      </c>
      <c r="D18">
        <f>IF(A18="","",(VLOOKUP(A18,'Order Sheet'!A:E,5,FALSE)))</f>
        <v>5</v>
      </c>
    </row>
    <row r="19" spans="1:4" x14ac:dyDescent="0.25">
      <c r="A19">
        <f>IFERROR(SMALL('Order Sheet'!A:A,18),"")</f>
        <v>6000001039</v>
      </c>
      <c r="B19" t="str">
        <f>IF(A19="","",(VLOOKUP(A19,'Order Sheet'!A:B,2,FALSE)))</f>
        <v>SOLAD</v>
      </c>
      <c r="C19">
        <f>IF(A19="","",(VLOOKUP(A19,'Order Sheet'!A:C,3,FALSE)))</f>
        <v>1604</v>
      </c>
      <c r="D19">
        <f>IF(A19="","",(VLOOKUP(A19,'Order Sheet'!A:E,5,FALSE)))</f>
        <v>1</v>
      </c>
    </row>
    <row r="20" spans="1:4" x14ac:dyDescent="0.25">
      <c r="A20">
        <f>IFERROR(SMALL('Order Sheet'!A:A,19),"")</f>
        <v>6000001041</v>
      </c>
      <c r="B20" t="str">
        <f>IF(A20="","",(VLOOKUP(A20,'Order Sheet'!A:B,2,FALSE)))</f>
        <v>SOLAD</v>
      </c>
      <c r="C20" t="str">
        <f>IF(A20="","",(VLOOKUP(A20,'Order Sheet'!A:C,3,FALSE)))</f>
        <v>0799-5B</v>
      </c>
      <c r="D20">
        <f>IF(A20="","",(VLOOKUP(A20,'Order Sheet'!A:E,5,FALSE)))</f>
        <v>1</v>
      </c>
    </row>
    <row r="21" spans="1:4" x14ac:dyDescent="0.25">
      <c r="A21">
        <f>IFERROR(SMALL('Order Sheet'!A:A,20),"")</f>
        <v>6000001132</v>
      </c>
      <c r="B21" t="str">
        <f>IF(A21="","",(VLOOKUP(A21,'Order Sheet'!A:B,2,FALSE)))</f>
        <v>SQD</v>
      </c>
      <c r="C21" t="str">
        <f>IF(A21="","",(VLOOKUP(A21,'Order Sheet'!A:C,3,FALSE)))</f>
        <v>QO230</v>
      </c>
      <c r="D21">
        <f>IF(A21="","",(VLOOKUP(A21,'Order Sheet'!A:E,5,FALSE)))</f>
        <v>1</v>
      </c>
    </row>
    <row r="22" spans="1:4" x14ac:dyDescent="0.25">
      <c r="A22">
        <f>IFERROR(SMALL('Order Sheet'!A:A,21),"")</f>
        <v>6000001142</v>
      </c>
      <c r="B22" t="str">
        <f>IF(A22="","",(VLOOKUP(A22,'Order Sheet'!A:B,2,FALSE)))</f>
        <v>SQD</v>
      </c>
      <c r="C22" t="str">
        <f>IF(A22="","",(VLOOKUP(A22,'Order Sheet'!A:C,3,FALSE)))</f>
        <v>QOM2150VH</v>
      </c>
      <c r="D22">
        <f>IF(A22="","",(VLOOKUP(A22,'Order Sheet'!A:E,5,FALSE)))</f>
        <v>1</v>
      </c>
    </row>
    <row r="23" spans="1:4" x14ac:dyDescent="0.25">
      <c r="A23" t="str">
        <f>IFERROR(SMALL('Order Sheet'!A:A,22),"")</f>
        <v/>
      </c>
      <c r="B23" t="str">
        <f>IF(A23="","",(VLOOKUP(A23,'Order Sheet'!A:B,2,FALSE)))</f>
        <v/>
      </c>
      <c r="C23" t="str">
        <f>IF(A23="","",(VLOOKUP(A23,'Order Sheet'!A:C,3,FALSE)))</f>
        <v/>
      </c>
      <c r="D23" t="str">
        <f>IF(A23="","",(VLOOKUP(A23,'Order Sheet'!A:E,5,FALSE)))</f>
        <v/>
      </c>
    </row>
    <row r="24" spans="1:4" x14ac:dyDescent="0.25">
      <c r="A24" t="str">
        <f>IFERROR(SMALL('Order Sheet'!A:A,23),"")</f>
        <v/>
      </c>
      <c r="B24" t="str">
        <f>IF(A24="","",(VLOOKUP(A24,'Order Sheet'!A:B,2,FALSE)))</f>
        <v/>
      </c>
      <c r="C24" t="str">
        <f>IF(A24="","",(VLOOKUP(A24,'Order Sheet'!A:C,3,FALSE)))</f>
        <v/>
      </c>
      <c r="D24" t="str">
        <f>IF(A24="","",(VLOOKUP(A24,'Order Sheet'!A:E,5,FALSE)))</f>
        <v/>
      </c>
    </row>
    <row r="25" spans="1:4" x14ac:dyDescent="0.25">
      <c r="A25" t="str">
        <f>IFERROR(SMALL('Order Sheet'!A:A,24),"")</f>
        <v/>
      </c>
      <c r="B25" t="str">
        <f>IF(A25="","",(VLOOKUP(A25,'Order Sheet'!A:B,2,FALSE)))</f>
        <v/>
      </c>
      <c r="C25" t="str">
        <f>IF(A25="","",(VLOOKUP(A25,'Order Sheet'!A:C,3,FALSE)))</f>
        <v/>
      </c>
      <c r="D25" t="str">
        <f>IF(A25="","",(VLOOKUP(A25,'Order Sheet'!A:E,5,FALSE)))</f>
        <v/>
      </c>
    </row>
    <row r="26" spans="1:4" x14ac:dyDescent="0.25">
      <c r="A26" t="str">
        <f>IFERROR(SMALL('Order Sheet'!A:A,25),"")</f>
        <v/>
      </c>
      <c r="B26" t="str">
        <f>IF(A26="","",(VLOOKUP(A26,'Order Sheet'!A:B,2,FALSE)))</f>
        <v/>
      </c>
      <c r="C26" t="str">
        <f>IF(A26="","",(VLOOKUP(A26,'Order Sheet'!A:C,3,FALSE)))</f>
        <v/>
      </c>
      <c r="D26" t="str">
        <f>IF(A26="","",(VLOOKUP(A26,'Order Sheet'!A:E,5,FALSE)))</f>
        <v/>
      </c>
    </row>
    <row r="27" spans="1:4" x14ac:dyDescent="0.25">
      <c r="A27" t="str">
        <f>IFERROR(SMALL('Order Sheet'!A:A,26),"")</f>
        <v/>
      </c>
      <c r="B27" t="str">
        <f>IF(A27="","",(VLOOKUP(A27,'Order Sheet'!A:B,2,FALSE)))</f>
        <v/>
      </c>
      <c r="C27" t="str">
        <f>IF(A27="","",(VLOOKUP(A27,'Order Sheet'!A:C,3,FALSE)))</f>
        <v/>
      </c>
      <c r="D27" t="str">
        <f>IF(A27="","",(VLOOKUP(A27,'Order Sheet'!A:E,5,FALSE)))</f>
        <v/>
      </c>
    </row>
    <row r="28" spans="1:4" x14ac:dyDescent="0.25">
      <c r="A28" t="str">
        <f>IFERROR(SMALL('Order Sheet'!A:A,27),"")</f>
        <v/>
      </c>
      <c r="B28" t="str">
        <f>IF(A28="","",(VLOOKUP(A28,'Order Sheet'!A:B,2,FALSE)))</f>
        <v/>
      </c>
      <c r="C28" t="str">
        <f>IF(A28="","",(VLOOKUP(A28,'Order Sheet'!A:C,3,FALSE)))</f>
        <v/>
      </c>
      <c r="D28" t="str">
        <f>IF(A28="","",(VLOOKUP(A28,'Order Sheet'!A:E,5,FALSE)))</f>
        <v/>
      </c>
    </row>
    <row r="29" spans="1:4" x14ac:dyDescent="0.25">
      <c r="A29" t="str">
        <f>IFERROR(SMALL('Order Sheet'!A:A,28),"")</f>
        <v/>
      </c>
      <c r="B29" t="str">
        <f>IF(A29="","",(VLOOKUP(A29,'Order Sheet'!A:B,2,FALSE)))</f>
        <v/>
      </c>
      <c r="C29" t="str">
        <f>IF(A29="","",(VLOOKUP(A29,'Order Sheet'!A:C,3,FALSE)))</f>
        <v/>
      </c>
      <c r="D29" t="str">
        <f>IF(A29="","",(VLOOKUP(A29,'Order Sheet'!A:E,5,FALSE)))</f>
        <v/>
      </c>
    </row>
    <row r="30" spans="1:4" x14ac:dyDescent="0.25">
      <c r="A30" t="str">
        <f>IFERROR(SMALL('Order Sheet'!A:A,29),"")</f>
        <v/>
      </c>
      <c r="B30" t="str">
        <f>IF(A30="","",(VLOOKUP(A30,'Order Sheet'!A:B,2,FALSE)))</f>
        <v/>
      </c>
      <c r="C30" t="str">
        <f>IF(A30="","",(VLOOKUP(A30,'Order Sheet'!A:C,3,FALSE)))</f>
        <v/>
      </c>
      <c r="D30" t="str">
        <f>IF(A30="","",(VLOOKUP(A30,'Order Sheet'!A:E,5,FALSE)))</f>
        <v/>
      </c>
    </row>
    <row r="31" spans="1:4" x14ac:dyDescent="0.25">
      <c r="A31" t="str">
        <f>IFERROR(SMALL('Order Sheet'!A:A,30),"")</f>
        <v/>
      </c>
      <c r="B31" t="str">
        <f>IF(A31="","",(VLOOKUP(A31,'Order Sheet'!A:B,2,FALSE)))</f>
        <v/>
      </c>
      <c r="C31" t="str">
        <f>IF(A31="","",(VLOOKUP(A31,'Order Sheet'!A:C,3,FALSE)))</f>
        <v/>
      </c>
      <c r="D31" t="str">
        <f>IF(A31="","",(VLOOKUP(A31,'Order Sheet'!A:E,5,FALSE)))</f>
        <v/>
      </c>
    </row>
    <row r="32" spans="1:4" x14ac:dyDescent="0.25">
      <c r="A32" t="str">
        <f>IFERROR(SMALL('Order Sheet'!A:A,31),"")</f>
        <v/>
      </c>
      <c r="B32" t="str">
        <f>IF(A32="","",(VLOOKUP(A32,'Order Sheet'!A:B,2,FALSE)))</f>
        <v/>
      </c>
      <c r="C32" t="str">
        <f>IF(A32="","",(VLOOKUP(A32,'Order Sheet'!A:C,3,FALSE)))</f>
        <v/>
      </c>
      <c r="D32" t="str">
        <f>IF(A32="","",(VLOOKUP(A32,'Order Sheet'!A:E,5,FALSE)))</f>
        <v/>
      </c>
    </row>
    <row r="33" spans="1:4" x14ac:dyDescent="0.25">
      <c r="A33" t="str">
        <f>IFERROR(SMALL('Order Sheet'!A:A,32),"")</f>
        <v/>
      </c>
      <c r="B33" t="str">
        <f>IF(A33="","",(VLOOKUP(A33,'Order Sheet'!A:B,2,FALSE)))</f>
        <v/>
      </c>
      <c r="C33" t="str">
        <f>IF(A33="","",(VLOOKUP(A33,'Order Sheet'!A:C,3,FALSE)))</f>
        <v/>
      </c>
      <c r="D33" t="str">
        <f>IF(A33="","",(VLOOKUP(A33,'Order Sheet'!A:E,5,FALSE)))</f>
        <v/>
      </c>
    </row>
    <row r="34" spans="1:4" x14ac:dyDescent="0.25">
      <c r="A34" t="str">
        <f>IFERROR(SMALL('Order Sheet'!A:A,33),"")</f>
        <v/>
      </c>
      <c r="B34" t="str">
        <f>IF(A34="","",(VLOOKUP(A34,'Order Sheet'!A:B,2,FALSE)))</f>
        <v/>
      </c>
      <c r="C34" t="str">
        <f>IF(A34="","",(VLOOKUP(A34,'Order Sheet'!A:C,3,FALSE)))</f>
        <v/>
      </c>
      <c r="D34" t="str">
        <f>IF(A34="","",(VLOOKUP(A34,'Order Sheet'!A:E,5,FALSE)))</f>
        <v/>
      </c>
    </row>
    <row r="35" spans="1:4" x14ac:dyDescent="0.25">
      <c r="A35" t="str">
        <f>IFERROR(SMALL('Order Sheet'!A:A,34),"")</f>
        <v/>
      </c>
      <c r="B35" t="str">
        <f>IF(A35="","",(VLOOKUP(A35,'Order Sheet'!A:B,2,FALSE)))</f>
        <v/>
      </c>
      <c r="C35" t="str">
        <f>IF(A35="","",(VLOOKUP(A35,'Order Sheet'!A:C,3,FALSE)))</f>
        <v/>
      </c>
      <c r="D35" t="str">
        <f>IF(A35="","",(VLOOKUP(A35,'Order Sheet'!A:E,5,FALSE)))</f>
        <v/>
      </c>
    </row>
    <row r="36" spans="1:4" x14ac:dyDescent="0.25">
      <c r="A36" t="str">
        <f>IFERROR(SMALL('Order Sheet'!A:A,35),"")</f>
        <v/>
      </c>
      <c r="B36" t="str">
        <f>IF(A36="","",(VLOOKUP(A36,'Order Sheet'!A:B,2,FALSE)))</f>
        <v/>
      </c>
      <c r="C36" t="str">
        <f>IF(A36="","",(VLOOKUP(A36,'Order Sheet'!A:C,3,FALSE)))</f>
        <v/>
      </c>
      <c r="D36" t="str">
        <f>IF(A36="","",(VLOOKUP(A36,'Order Sheet'!A:E,5,FALSE)))</f>
        <v/>
      </c>
    </row>
    <row r="37" spans="1:4" x14ac:dyDescent="0.25">
      <c r="A37" t="str">
        <f>IFERROR(SMALL('Order Sheet'!A:A,36),"")</f>
        <v/>
      </c>
      <c r="B37" t="str">
        <f>IF(A37="","",(VLOOKUP(A37,'Order Sheet'!A:B,2,FALSE)))</f>
        <v/>
      </c>
      <c r="C37" t="str">
        <f>IF(A37="","",(VLOOKUP(A37,'Order Sheet'!A:C,3,FALSE)))</f>
        <v/>
      </c>
      <c r="D37" t="str">
        <f>IF(A37="","",(VLOOKUP(A37,'Order Sheet'!A:E,5,FALSE)))</f>
        <v/>
      </c>
    </row>
    <row r="38" spans="1:4" x14ac:dyDescent="0.25">
      <c r="A38" t="str">
        <f>IFERROR(SMALL('Order Sheet'!A:A,37),"")</f>
        <v/>
      </c>
      <c r="B38" t="str">
        <f>IF(A38="","",(VLOOKUP(A38,'Order Sheet'!A:B,2,FALSE)))</f>
        <v/>
      </c>
      <c r="C38" t="str">
        <f>IF(A38="","",(VLOOKUP(A38,'Order Sheet'!A:C,3,FALSE)))</f>
        <v/>
      </c>
      <c r="D38" t="str">
        <f>IF(A38="","",(VLOOKUP(A38,'Order Sheet'!A:E,5,FALSE)))</f>
        <v/>
      </c>
    </row>
    <row r="39" spans="1:4" x14ac:dyDescent="0.25">
      <c r="A39" t="str">
        <f>IFERROR(SMALL('Order Sheet'!A:A,38),"")</f>
        <v/>
      </c>
      <c r="B39" t="str">
        <f>IF(A39="","",(VLOOKUP(A39,'Order Sheet'!A:B,2,FALSE)))</f>
        <v/>
      </c>
      <c r="C39" t="str">
        <f>IF(A39="","",(VLOOKUP(A39,'Order Sheet'!A:C,3,FALSE)))</f>
        <v/>
      </c>
      <c r="D39" t="str">
        <f>IF(A39="","",(VLOOKUP(A39,'Order Sheet'!A:E,5,FALSE)))</f>
        <v/>
      </c>
    </row>
    <row r="40" spans="1:4" x14ac:dyDescent="0.25">
      <c r="A40" t="str">
        <f>IFERROR(SMALL('Order Sheet'!A:A,39),"")</f>
        <v/>
      </c>
      <c r="B40" t="str">
        <f>IF(A40="","",(VLOOKUP(A40,'Order Sheet'!A:B,2,FALSE)))</f>
        <v/>
      </c>
      <c r="C40" t="str">
        <f>IF(A40="","",(VLOOKUP(A40,'Order Sheet'!A:C,3,FALSE)))</f>
        <v/>
      </c>
      <c r="D40" t="str">
        <f>IF(A40="","",(VLOOKUP(A40,'Order Sheet'!A:E,5,FALSE)))</f>
        <v/>
      </c>
    </row>
    <row r="41" spans="1:4" x14ac:dyDescent="0.25">
      <c r="A41" t="str">
        <f>IFERROR(SMALL('Order Sheet'!A:A,40),"")</f>
        <v/>
      </c>
      <c r="B41" t="str">
        <f>IF(A41="","",(VLOOKUP(A41,'Order Sheet'!A:B,2,FALSE)))</f>
        <v/>
      </c>
      <c r="C41" t="str">
        <f>IF(A41="","",(VLOOKUP(A41,'Order Sheet'!A:C,3,FALSE)))</f>
        <v/>
      </c>
      <c r="D41" t="str">
        <f>IF(A41="","",(VLOOKUP(A41,'Order Sheet'!A:E,5,FALSE)))</f>
        <v/>
      </c>
    </row>
    <row r="42" spans="1:4" x14ac:dyDescent="0.25">
      <c r="A42" t="str">
        <f>IFERROR(SMALL('Order Sheet'!A:A,41),"")</f>
        <v/>
      </c>
      <c r="B42" t="str">
        <f>IF(A42="","",(VLOOKUP(A42,'Order Sheet'!A:B,2,FALSE)))</f>
        <v/>
      </c>
      <c r="C42" t="str">
        <f>IF(A42="","",(VLOOKUP(A42,'Order Sheet'!A:C,3,FALSE)))</f>
        <v/>
      </c>
      <c r="D42" t="str">
        <f>IF(A42="","",(VLOOKUP(A42,'Order Sheet'!A:E,5,FALSE)))</f>
        <v/>
      </c>
    </row>
    <row r="43" spans="1:4" x14ac:dyDescent="0.25">
      <c r="A43" t="str">
        <f>IFERROR(SMALL('Order Sheet'!A:A,42),"")</f>
        <v/>
      </c>
      <c r="B43" t="str">
        <f>IF(A43="","",(VLOOKUP(A43,'Order Sheet'!A:B,2,FALSE)))</f>
        <v/>
      </c>
      <c r="C43" t="str">
        <f>IF(A43="","",(VLOOKUP(A43,'Order Sheet'!A:C,3,FALSE)))</f>
        <v/>
      </c>
      <c r="D43" t="str">
        <f>IF(A43="","",(VLOOKUP(A43,'Order Sheet'!A:E,5,FALSE)))</f>
        <v/>
      </c>
    </row>
    <row r="44" spans="1:4" x14ac:dyDescent="0.25">
      <c r="A44" t="str">
        <f>IFERROR(SMALL('Order Sheet'!A:A,43),"")</f>
        <v/>
      </c>
      <c r="B44" t="str">
        <f>IF(A44="","",(VLOOKUP(A44,'Order Sheet'!A:B,2,FALSE)))</f>
        <v/>
      </c>
      <c r="C44" t="str">
        <f>IF(A44="","",(VLOOKUP(A44,'Order Sheet'!A:C,3,FALSE)))</f>
        <v/>
      </c>
      <c r="D44" t="str">
        <f>IF(A44="","",(VLOOKUP(A44,'Order Sheet'!A:E,5,FALSE)))</f>
        <v/>
      </c>
    </row>
    <row r="45" spans="1:4" x14ac:dyDescent="0.25">
      <c r="A45" t="str">
        <f>IFERROR(SMALL('Order Sheet'!A:A,44),"")</f>
        <v/>
      </c>
      <c r="B45" t="str">
        <f>IF(A45="","",(VLOOKUP(A45,'Order Sheet'!A:B,2,FALSE)))</f>
        <v/>
      </c>
      <c r="C45" t="str">
        <f>IF(A45="","",(VLOOKUP(A45,'Order Sheet'!A:C,3,FALSE)))</f>
        <v/>
      </c>
      <c r="D45" t="str">
        <f>IF(A45="","",(VLOOKUP(A45,'Order Sheet'!A:E,5,FALSE)))</f>
        <v/>
      </c>
    </row>
    <row r="46" spans="1:4" x14ac:dyDescent="0.25">
      <c r="A46" t="str">
        <f>IFERROR(SMALL('Order Sheet'!A:A,45),"")</f>
        <v/>
      </c>
      <c r="B46" t="str">
        <f>IF(A46="","",(VLOOKUP(A46,'Order Sheet'!A:B,2,FALSE)))</f>
        <v/>
      </c>
      <c r="C46" t="str">
        <f>IF(A46="","",(VLOOKUP(A46,'Order Sheet'!A:C,3,FALSE)))</f>
        <v/>
      </c>
      <c r="D46" t="str">
        <f>IF(A46="","",(VLOOKUP(A46,'Order Sheet'!A:E,5,FALSE)))</f>
        <v/>
      </c>
    </row>
    <row r="47" spans="1:4" x14ac:dyDescent="0.25">
      <c r="A47" t="str">
        <f>IFERROR(SMALL('Order Sheet'!A:A,46),"")</f>
        <v/>
      </c>
      <c r="B47" t="str">
        <f>IF(A47="","",(VLOOKUP(A47,'Order Sheet'!A:B,2,FALSE)))</f>
        <v/>
      </c>
      <c r="C47" t="str">
        <f>IF(A47="","",(VLOOKUP(A47,'Order Sheet'!A:C,3,FALSE)))</f>
        <v/>
      </c>
      <c r="D47" t="str">
        <f>IF(A47="","",(VLOOKUP(A47,'Order Sheet'!A:E,5,FALSE)))</f>
        <v/>
      </c>
    </row>
    <row r="48" spans="1:4" x14ac:dyDescent="0.25">
      <c r="A48" t="str">
        <f>IFERROR(SMALL('Order Sheet'!A:A,47),"")</f>
        <v/>
      </c>
      <c r="B48" t="str">
        <f>IF(A48="","",(VLOOKUP(A48,'Order Sheet'!A:B,2,FALSE)))</f>
        <v/>
      </c>
      <c r="C48" t="str">
        <f>IF(A48="","",(VLOOKUP(A48,'Order Sheet'!A:C,3,FALSE)))</f>
        <v/>
      </c>
      <c r="D48" t="str">
        <f>IF(A48="","",(VLOOKUP(A48,'Order Sheet'!A:E,5,FALSE)))</f>
        <v/>
      </c>
    </row>
    <row r="49" spans="1:4" x14ac:dyDescent="0.25">
      <c r="A49" t="str">
        <f>IFERROR(SMALL('Order Sheet'!A:A,48),"")</f>
        <v/>
      </c>
      <c r="B49" t="str">
        <f>IF(A49="","",(VLOOKUP(A49,'Order Sheet'!A:B,2,FALSE)))</f>
        <v/>
      </c>
      <c r="C49" t="str">
        <f>IF(A49="","",(VLOOKUP(A49,'Order Sheet'!A:C,3,FALSE)))</f>
        <v/>
      </c>
      <c r="D49" t="str">
        <f>IF(A49="","",(VLOOKUP(A49,'Order Sheet'!A:E,5,FALSE)))</f>
        <v/>
      </c>
    </row>
    <row r="50" spans="1:4" x14ac:dyDescent="0.25">
      <c r="A50" t="str">
        <f>IFERROR(SMALL('Order Sheet'!A:A,49),"")</f>
        <v/>
      </c>
      <c r="B50" t="str">
        <f>IF(A50="","",(VLOOKUP(A50,'Order Sheet'!A:B,2,FALSE)))</f>
        <v/>
      </c>
      <c r="C50" t="str">
        <f>IF(A50="","",(VLOOKUP(A50,'Order Sheet'!A:C,3,FALSE)))</f>
        <v/>
      </c>
      <c r="D50" t="str">
        <f>IF(A50="","",(VLOOKUP(A50,'Order Sheet'!A:E,5,FALSE)))</f>
        <v/>
      </c>
    </row>
    <row r="51" spans="1:4" x14ac:dyDescent="0.25">
      <c r="A51" t="str">
        <f>IFERROR(SMALL('Order Sheet'!A:A,50),"")</f>
        <v/>
      </c>
      <c r="B51" t="str">
        <f>IF(A51="","",(VLOOKUP(A51,'Order Sheet'!A:B,2,FALSE)))</f>
        <v/>
      </c>
      <c r="C51" t="str">
        <f>IF(A51="","",(VLOOKUP(A51,'Order Sheet'!A:C,3,FALSE)))</f>
        <v/>
      </c>
      <c r="D51" t="str">
        <f>IF(A51="","",(VLOOKUP(A51,'Order Sheet'!A:E,5,FALSE)))</f>
        <v/>
      </c>
    </row>
    <row r="52" spans="1:4" x14ac:dyDescent="0.25">
      <c r="A52" t="str">
        <f>IFERROR(SMALL('Order Sheet'!A:A,51),"")</f>
        <v/>
      </c>
      <c r="B52" t="str">
        <f>IF(A52="","",(VLOOKUP(A52,'Order Sheet'!A:B,2,FALSE)))</f>
        <v/>
      </c>
      <c r="C52" t="str">
        <f>IF(A52="","",(VLOOKUP(A52,'Order Sheet'!A:C,3,FALSE)))</f>
        <v/>
      </c>
      <c r="D52" t="str">
        <f>IF(A52="","",(VLOOKUP(A52,'Order Sheet'!A:E,5,FALSE)))</f>
        <v/>
      </c>
    </row>
    <row r="53" spans="1:4" x14ac:dyDescent="0.25">
      <c r="A53" t="str">
        <f>IFERROR(SMALL('Order Sheet'!A:A,52),"")</f>
        <v/>
      </c>
      <c r="B53" t="str">
        <f>IF(A53="","",(VLOOKUP(A53,'Order Sheet'!A:B,2,FALSE)))</f>
        <v/>
      </c>
      <c r="C53" t="str">
        <f>IF(A53="","",(VLOOKUP(A53,'Order Sheet'!A:C,3,FALSE)))</f>
        <v/>
      </c>
      <c r="D53" t="str">
        <f>IF(A53="","",(VLOOKUP(A53,'Order Sheet'!A:E,5,FALSE)))</f>
        <v/>
      </c>
    </row>
    <row r="54" spans="1:4" x14ac:dyDescent="0.25">
      <c r="A54" t="str">
        <f>IFERROR(SMALL('Order Sheet'!A:A,53),"")</f>
        <v/>
      </c>
      <c r="B54" t="str">
        <f>IF(A54="","",(VLOOKUP(A54,'Order Sheet'!A:B,2,FALSE)))</f>
        <v/>
      </c>
      <c r="C54" t="str">
        <f>IF(A54="","",(VLOOKUP(A54,'Order Sheet'!A:C,3,FALSE)))</f>
        <v/>
      </c>
      <c r="D54" t="str">
        <f>IF(A54="","",(VLOOKUP(A54,'Order Sheet'!A:E,5,FALSE)))</f>
        <v/>
      </c>
    </row>
    <row r="55" spans="1:4" x14ac:dyDescent="0.25">
      <c r="A55" t="str">
        <f>IFERROR(SMALL('Order Sheet'!A:A,54),"")</f>
        <v/>
      </c>
      <c r="B55" t="str">
        <f>IF(A55="","",(VLOOKUP(A55,'Order Sheet'!A:B,2,FALSE)))</f>
        <v/>
      </c>
      <c r="C55" t="str">
        <f>IF(A55="","",(VLOOKUP(A55,'Order Sheet'!A:C,3,FALSE)))</f>
        <v/>
      </c>
      <c r="D55" t="str">
        <f>IF(A55="","",(VLOOKUP(A55,'Order Sheet'!A:E,5,FALSE)))</f>
        <v/>
      </c>
    </row>
    <row r="56" spans="1:4" x14ac:dyDescent="0.25">
      <c r="A56" t="str">
        <f>IFERROR(SMALL('Order Sheet'!A:A,55),"")</f>
        <v/>
      </c>
      <c r="B56" t="str">
        <f>IF(A56="","",(VLOOKUP(A56,'Order Sheet'!A:B,2,FALSE)))</f>
        <v/>
      </c>
      <c r="C56" t="str">
        <f>IF(A56="","",(VLOOKUP(A56,'Order Sheet'!A:C,3,FALSE)))</f>
        <v/>
      </c>
      <c r="D56" t="str">
        <f>IF(A56="","",(VLOOKUP(A56,'Order Sheet'!A:E,5,FALSE)))</f>
        <v/>
      </c>
    </row>
    <row r="57" spans="1:4" x14ac:dyDescent="0.25">
      <c r="A57" t="str">
        <f>IFERROR(SMALL('Order Sheet'!A:A,56),"")</f>
        <v/>
      </c>
      <c r="B57" t="str">
        <f>IF(A57="","",(VLOOKUP(A57,'Order Sheet'!A:B,2,FALSE)))</f>
        <v/>
      </c>
      <c r="C57" t="str">
        <f>IF(A57="","",(VLOOKUP(A57,'Order Sheet'!A:C,3,FALSE)))</f>
        <v/>
      </c>
      <c r="D57" t="str">
        <f>IF(A57="","",(VLOOKUP(A57,'Order Sheet'!A:E,5,FALSE)))</f>
        <v/>
      </c>
    </row>
    <row r="58" spans="1:4" x14ac:dyDescent="0.25">
      <c r="A58" t="str">
        <f>IFERROR(SMALL('Order Sheet'!A:A,57),"")</f>
        <v/>
      </c>
      <c r="B58" t="str">
        <f>IF(A58="","",(VLOOKUP(A58,'Order Sheet'!A:B,2,FALSE)))</f>
        <v/>
      </c>
      <c r="C58" t="str">
        <f>IF(A58="","",(VLOOKUP(A58,'Order Sheet'!A:C,3,FALSE)))</f>
        <v/>
      </c>
      <c r="D58" t="str">
        <f>IF(A58="","",(VLOOKUP(A58,'Order Sheet'!A:E,5,FALSE)))</f>
        <v/>
      </c>
    </row>
    <row r="59" spans="1:4" x14ac:dyDescent="0.25">
      <c r="A59" t="str">
        <f>IFERROR(SMALL('Order Sheet'!A:A,58),"")</f>
        <v/>
      </c>
      <c r="B59" t="str">
        <f>IF(A59="","",(VLOOKUP(A59,'Order Sheet'!A:B,2,FALSE)))</f>
        <v/>
      </c>
      <c r="C59" t="str">
        <f>IF(A59="","",(VLOOKUP(A59,'Order Sheet'!A:C,3,FALSE)))</f>
        <v/>
      </c>
      <c r="D59" t="str">
        <f>IF(A59="","",(VLOOKUP(A59,'Order Sheet'!A:E,5,FALSE)))</f>
        <v/>
      </c>
    </row>
    <row r="60" spans="1:4" x14ac:dyDescent="0.25">
      <c r="A60" t="str">
        <f>IFERROR(SMALL('Order Sheet'!A:A,59),"")</f>
        <v/>
      </c>
      <c r="B60" t="str">
        <f>IF(A60="","",(VLOOKUP(A60,'Order Sheet'!A:B,2,FALSE)))</f>
        <v/>
      </c>
      <c r="C60" t="str">
        <f>IF(A60="","",(VLOOKUP(A60,'Order Sheet'!A:C,3,FALSE)))</f>
        <v/>
      </c>
      <c r="D60" t="str">
        <f>IF(A60="","",(VLOOKUP(A60,'Order Sheet'!A:E,5,FALSE)))</f>
        <v/>
      </c>
    </row>
    <row r="61" spans="1:4" x14ac:dyDescent="0.25">
      <c r="A61" t="str">
        <f>IFERROR(SMALL('Order Sheet'!A:A,60),"")</f>
        <v/>
      </c>
      <c r="B61" t="str">
        <f>IF(A61="","",(VLOOKUP(A61,'Order Sheet'!A:B,2,FALSE)))</f>
        <v/>
      </c>
      <c r="C61" t="str">
        <f>IF(A61="","",(VLOOKUP(A61,'Order Sheet'!A:C,3,FALSE)))</f>
        <v/>
      </c>
      <c r="D61" t="str">
        <f>IF(A61="","",(VLOOKUP(A61,'Order Sheet'!A:E,5,FALSE)))</f>
        <v/>
      </c>
    </row>
    <row r="62" spans="1:4" x14ac:dyDescent="0.25">
      <c r="A62" t="str">
        <f>IFERROR(SMALL('Order Sheet'!A:A,61),"")</f>
        <v/>
      </c>
      <c r="B62" t="str">
        <f>IF(A62="","",(VLOOKUP(A62,'Order Sheet'!A:B,2,FALSE)))</f>
        <v/>
      </c>
      <c r="C62" t="str">
        <f>IF(A62="","",(VLOOKUP(A62,'Order Sheet'!A:C,3,FALSE)))</f>
        <v/>
      </c>
      <c r="D62" t="str">
        <f>IF(A62="","",(VLOOKUP(A62,'Order Sheet'!A:E,5,FALSE)))</f>
        <v/>
      </c>
    </row>
    <row r="63" spans="1:4" x14ac:dyDescent="0.25">
      <c r="A63" t="str">
        <f>IFERROR(SMALL('Order Sheet'!A:A,62),"")</f>
        <v/>
      </c>
      <c r="B63" t="str">
        <f>IF(A63="","",(VLOOKUP(A63,'Order Sheet'!A:B,2,FALSE)))</f>
        <v/>
      </c>
      <c r="C63" t="str">
        <f>IF(A63="","",(VLOOKUP(A63,'Order Sheet'!A:C,3,FALSE)))</f>
        <v/>
      </c>
      <c r="D63" t="str">
        <f>IF(A63="","",(VLOOKUP(A63,'Order Sheet'!A:E,5,FALSE)))</f>
        <v/>
      </c>
    </row>
    <row r="64" spans="1:4" x14ac:dyDescent="0.25">
      <c r="A64" t="str">
        <f>IFERROR(SMALL('Order Sheet'!A:A,63),"")</f>
        <v/>
      </c>
      <c r="B64" t="str">
        <f>IF(A64="","",(VLOOKUP(A64,'Order Sheet'!A:B,2,FALSE)))</f>
        <v/>
      </c>
      <c r="C64" t="str">
        <f>IF(A64="","",(VLOOKUP(A64,'Order Sheet'!A:C,3,FALSE)))</f>
        <v/>
      </c>
      <c r="D64" t="str">
        <f>IF(A64="","",(VLOOKUP(A64,'Order Sheet'!A:E,5,FALSE)))</f>
        <v/>
      </c>
    </row>
    <row r="65" spans="1:4" x14ac:dyDescent="0.25">
      <c r="A65" t="str">
        <f>IFERROR(SMALL('Order Sheet'!A:A,64),"")</f>
        <v/>
      </c>
      <c r="B65" t="str">
        <f>IF(A65="","",(VLOOKUP(A65,'Order Sheet'!A:B,2,FALSE)))</f>
        <v/>
      </c>
      <c r="C65" t="str">
        <f>IF(A65="","",(VLOOKUP(A65,'Order Sheet'!A:C,3,FALSE)))</f>
        <v/>
      </c>
      <c r="D65" t="str">
        <f>IF(A65="","",(VLOOKUP(A65,'Order Sheet'!A:E,5,FALSE)))</f>
        <v/>
      </c>
    </row>
    <row r="66" spans="1:4" x14ac:dyDescent="0.25">
      <c r="A66" t="str">
        <f>IFERROR(SMALL('Order Sheet'!A:A,65),"")</f>
        <v/>
      </c>
      <c r="B66" t="str">
        <f>IF(A66="","",(VLOOKUP(A66,'Order Sheet'!A:B,2,FALSE)))</f>
        <v/>
      </c>
      <c r="C66" t="str">
        <f>IF(A66="","",(VLOOKUP(A66,'Order Sheet'!A:C,3,FALSE)))</f>
        <v/>
      </c>
      <c r="D66" t="str">
        <f>IF(A66="","",(VLOOKUP(A66,'Order Sheet'!A:E,5,FALSE)))</f>
        <v/>
      </c>
    </row>
    <row r="67" spans="1:4" x14ac:dyDescent="0.25">
      <c r="A67" t="str">
        <f>IFERROR(SMALL('Order Sheet'!A:A,66),"")</f>
        <v/>
      </c>
      <c r="B67" t="str">
        <f>IF(A67="","",(VLOOKUP(A67,'Order Sheet'!A:B,2,FALSE)))</f>
        <v/>
      </c>
      <c r="C67" t="str">
        <f>IF(A67="","",(VLOOKUP(A67,'Order Sheet'!A:C,3,FALSE)))</f>
        <v/>
      </c>
      <c r="D67" t="str">
        <f>IF(A67="","",(VLOOKUP(A67,'Order Sheet'!A:E,5,FALSE)))</f>
        <v/>
      </c>
    </row>
    <row r="68" spans="1:4" x14ac:dyDescent="0.25">
      <c r="A68" t="str">
        <f>IFERROR(SMALL('Order Sheet'!A:A,67),"")</f>
        <v/>
      </c>
      <c r="B68" t="str">
        <f>IF(A68="","",(VLOOKUP(A68,'Order Sheet'!A:B,2,FALSE)))</f>
        <v/>
      </c>
      <c r="C68" t="str">
        <f>IF(A68="","",(VLOOKUP(A68,'Order Sheet'!A:C,3,FALSE)))</f>
        <v/>
      </c>
      <c r="D68" t="str">
        <f>IF(A68="","",(VLOOKUP(A68,'Order Sheet'!A:E,5,FALSE)))</f>
        <v/>
      </c>
    </row>
    <row r="69" spans="1:4" x14ac:dyDescent="0.25">
      <c r="A69" t="str">
        <f>IFERROR(SMALL('Order Sheet'!A:A,68),"")</f>
        <v/>
      </c>
      <c r="B69" t="str">
        <f>IF(A69="","",(VLOOKUP(A69,'Order Sheet'!A:B,2,FALSE)))</f>
        <v/>
      </c>
      <c r="C69" t="str">
        <f>IF(A69="","",(VLOOKUP(A69,'Order Sheet'!A:C,3,FALSE)))</f>
        <v/>
      </c>
      <c r="D69" t="str">
        <f>IF(A69="","",(VLOOKUP(A69,'Order Sheet'!A:E,5,FALSE)))</f>
        <v/>
      </c>
    </row>
    <row r="70" spans="1:4" x14ac:dyDescent="0.25">
      <c r="A70" t="str">
        <f>IFERROR(SMALL('Order Sheet'!A:A,69),"")</f>
        <v/>
      </c>
      <c r="B70" t="str">
        <f>IF(A70="","",(VLOOKUP(A70,'Order Sheet'!A:B,2,FALSE)))</f>
        <v/>
      </c>
      <c r="C70" t="str">
        <f>IF(A70="","",(VLOOKUP(A70,'Order Sheet'!A:C,3,FALSE)))</f>
        <v/>
      </c>
      <c r="D70" t="str">
        <f>IF(A70="","",(VLOOKUP(A70,'Order Sheet'!A:E,5,FALSE)))</f>
        <v/>
      </c>
    </row>
    <row r="71" spans="1:4" x14ac:dyDescent="0.25">
      <c r="A71" t="str">
        <f>IFERROR(SMALL('Order Sheet'!A:A,70),"")</f>
        <v/>
      </c>
      <c r="B71" t="str">
        <f>IF(A71="","",(VLOOKUP(A71,'Order Sheet'!A:B,2,FALSE)))</f>
        <v/>
      </c>
      <c r="C71" t="str">
        <f>IF(A71="","",(VLOOKUP(A71,'Order Sheet'!A:C,3,FALSE)))</f>
        <v/>
      </c>
      <c r="D71" t="str">
        <f>IF(A71="","",(VLOOKUP(A71,'Order Sheet'!A:E,5,FALSE)))</f>
        <v/>
      </c>
    </row>
    <row r="72" spans="1:4" x14ac:dyDescent="0.25">
      <c r="A72" t="str">
        <f>IFERROR(SMALL('Order Sheet'!A:A,71),"")</f>
        <v/>
      </c>
      <c r="B72" t="str">
        <f>IF(A72="","",(VLOOKUP(A72,'Order Sheet'!A:B,2,FALSE)))</f>
        <v/>
      </c>
      <c r="C72" t="str">
        <f>IF(A72="","",(VLOOKUP(A72,'Order Sheet'!A:C,3,FALSE)))</f>
        <v/>
      </c>
      <c r="D72" t="str">
        <f>IF(A72="","",(VLOOKUP(A72,'Order Sheet'!A:E,5,FALSE)))</f>
        <v/>
      </c>
    </row>
    <row r="73" spans="1:4" x14ac:dyDescent="0.25">
      <c r="A73" t="str">
        <f>IFERROR(SMALL('Order Sheet'!A:A,72),"")</f>
        <v/>
      </c>
      <c r="B73" t="str">
        <f>IF(A73="","",(VLOOKUP(A73,'Order Sheet'!A:B,2,FALSE)))</f>
        <v/>
      </c>
      <c r="C73" t="str">
        <f>IF(A73="","",(VLOOKUP(A73,'Order Sheet'!A:C,3,FALSE)))</f>
        <v/>
      </c>
      <c r="D73" t="str">
        <f>IF(A73="","",(VLOOKUP(A73,'Order Sheet'!A:E,5,FALSE)))</f>
        <v/>
      </c>
    </row>
    <row r="74" spans="1:4" x14ac:dyDescent="0.25">
      <c r="A74" t="str">
        <f>IFERROR(SMALL('Order Sheet'!A:A,73),"")</f>
        <v/>
      </c>
      <c r="B74" t="str">
        <f>IF(A74="","",(VLOOKUP(A74,'Order Sheet'!A:B,2,FALSE)))</f>
        <v/>
      </c>
      <c r="C74" t="str">
        <f>IF(A74="","",(VLOOKUP(A74,'Order Sheet'!A:C,3,FALSE)))</f>
        <v/>
      </c>
      <c r="D74" t="str">
        <f>IF(A74="","",(VLOOKUP(A74,'Order Sheet'!A:E,5,FALSE)))</f>
        <v/>
      </c>
    </row>
    <row r="75" spans="1:4" x14ac:dyDescent="0.25">
      <c r="A75" t="str">
        <f>IFERROR(SMALL('Order Sheet'!A:A,74),"")</f>
        <v/>
      </c>
      <c r="B75" t="str">
        <f>IF(A75="","",(VLOOKUP(A75,'Order Sheet'!A:B,2,FALSE)))</f>
        <v/>
      </c>
      <c r="C75" t="str">
        <f>IF(A75="","",(VLOOKUP(A75,'Order Sheet'!A:C,3,FALSE)))</f>
        <v/>
      </c>
      <c r="D75" t="str">
        <f>IF(A75="","",(VLOOKUP(A75,'Order Sheet'!A:E,5,FALSE)))</f>
        <v/>
      </c>
    </row>
    <row r="76" spans="1:4" x14ac:dyDescent="0.25">
      <c r="A76" t="str">
        <f>IFERROR(SMALL('Order Sheet'!A:A,75),"")</f>
        <v/>
      </c>
      <c r="B76" t="str">
        <f>IF(A76="","",(VLOOKUP(A76,'Order Sheet'!A:B,2,FALSE)))</f>
        <v/>
      </c>
      <c r="C76" t="str">
        <f>IF(A76="","",(VLOOKUP(A76,'Order Sheet'!A:C,3,FALSE)))</f>
        <v/>
      </c>
      <c r="D76" t="str">
        <f>IF(A76="","",(VLOOKUP(A76,'Order Sheet'!A:E,5,FALSE)))</f>
        <v/>
      </c>
    </row>
    <row r="77" spans="1:4" x14ac:dyDescent="0.25">
      <c r="A77" t="str">
        <f>IFERROR(SMALL('Order Sheet'!A:A,76),"")</f>
        <v/>
      </c>
      <c r="B77" t="str">
        <f>IF(A77="","",(VLOOKUP(A77,'Order Sheet'!A:B,2,FALSE)))</f>
        <v/>
      </c>
      <c r="C77" t="str">
        <f>IF(A77="","",(VLOOKUP(A77,'Order Sheet'!A:C,3,FALSE)))</f>
        <v/>
      </c>
      <c r="D77" t="str">
        <f>IF(A77="","",(VLOOKUP(A77,'Order Sheet'!A:E,5,FALSE)))</f>
        <v/>
      </c>
    </row>
    <row r="78" spans="1:4" x14ac:dyDescent="0.25">
      <c r="A78" t="str">
        <f>IFERROR(SMALL('Order Sheet'!A:A,77),"")</f>
        <v/>
      </c>
      <c r="B78" t="str">
        <f>IF(A78="","",(VLOOKUP(A78,'Order Sheet'!A:B,2,FALSE)))</f>
        <v/>
      </c>
      <c r="C78" t="str">
        <f>IF(A78="","",(VLOOKUP(A78,'Order Sheet'!A:C,3,FALSE)))</f>
        <v/>
      </c>
      <c r="D78" t="str">
        <f>IF(A78="","",(VLOOKUP(A78,'Order Sheet'!A:E,5,FALSE)))</f>
        <v/>
      </c>
    </row>
    <row r="79" spans="1:4" x14ac:dyDescent="0.25">
      <c r="A79" t="str">
        <f>IFERROR(SMALL('Order Sheet'!A:A,78),"")</f>
        <v/>
      </c>
      <c r="B79" t="str">
        <f>IF(A79="","",(VLOOKUP(A79,'Order Sheet'!A:B,2,FALSE)))</f>
        <v/>
      </c>
      <c r="C79" t="str">
        <f>IF(A79="","",(VLOOKUP(A79,'Order Sheet'!A:C,3,FALSE)))</f>
        <v/>
      </c>
      <c r="D79" t="str">
        <f>IF(A79="","",(VLOOKUP(A79,'Order Sheet'!A:E,5,FALSE)))</f>
        <v/>
      </c>
    </row>
    <row r="80" spans="1:4" x14ac:dyDescent="0.25">
      <c r="A80" t="str">
        <f>IFERROR(SMALL('Order Sheet'!A:A,79),"")</f>
        <v/>
      </c>
      <c r="B80" t="str">
        <f>IF(A80="","",(VLOOKUP(A80,'Order Sheet'!A:B,2,FALSE)))</f>
        <v/>
      </c>
      <c r="C80" t="str">
        <f>IF(A80="","",(VLOOKUP(A80,'Order Sheet'!A:C,3,FALSE)))</f>
        <v/>
      </c>
      <c r="D80" t="str">
        <f>IF(A80="","",(VLOOKUP(A80,'Order Sheet'!A:E,5,FALSE)))</f>
        <v/>
      </c>
    </row>
    <row r="81" spans="1:4" x14ac:dyDescent="0.25">
      <c r="A81" t="str">
        <f>IFERROR(SMALL('Order Sheet'!A:A,80),"")</f>
        <v/>
      </c>
      <c r="B81" t="str">
        <f>IF(A81="","",(VLOOKUP(A81,'Order Sheet'!A:B,2,FALSE)))</f>
        <v/>
      </c>
      <c r="C81" t="str">
        <f>IF(A81="","",(VLOOKUP(A81,'Order Sheet'!A:C,3,FALSE)))</f>
        <v/>
      </c>
      <c r="D81" t="str">
        <f>IF(A81="","",(VLOOKUP(A81,'Order Sheet'!A:E,5,FALSE)))</f>
        <v/>
      </c>
    </row>
    <row r="82" spans="1:4" x14ac:dyDescent="0.25">
      <c r="A82" t="str">
        <f>IFERROR(SMALL('Order Sheet'!A:A,81),"")</f>
        <v/>
      </c>
      <c r="B82" t="str">
        <f>IF(A82="","",(VLOOKUP(A82,'Order Sheet'!A:B,2,FALSE)))</f>
        <v/>
      </c>
      <c r="C82" t="str">
        <f>IF(A82="","",(VLOOKUP(A82,'Order Sheet'!A:C,3,FALSE)))</f>
        <v/>
      </c>
      <c r="D82" t="str">
        <f>IF(A82="","",(VLOOKUP(A82,'Order Sheet'!A:E,5,FALSE)))</f>
        <v/>
      </c>
    </row>
    <row r="83" spans="1:4" x14ac:dyDescent="0.25">
      <c r="A83" t="str">
        <f>IFERROR(SMALL('Order Sheet'!A:A,82),"")</f>
        <v/>
      </c>
      <c r="B83" t="str">
        <f>IF(A83="","",(VLOOKUP(A83,'Order Sheet'!A:B,2,FALSE)))</f>
        <v/>
      </c>
      <c r="C83" t="str">
        <f>IF(A83="","",(VLOOKUP(A83,'Order Sheet'!A:C,3,FALSE)))</f>
        <v/>
      </c>
      <c r="D83" t="str">
        <f>IF(A83="","",(VLOOKUP(A83,'Order Sheet'!A:E,5,FALSE)))</f>
        <v/>
      </c>
    </row>
    <row r="84" spans="1:4" x14ac:dyDescent="0.25">
      <c r="A84" t="str">
        <f>IFERROR(SMALL('Order Sheet'!A:A,83),"")</f>
        <v/>
      </c>
      <c r="B84" t="str">
        <f>IF(A84="","",(VLOOKUP(A84,'Order Sheet'!A:B,2,FALSE)))</f>
        <v/>
      </c>
      <c r="C84" t="str">
        <f>IF(A84="","",(VLOOKUP(A84,'Order Sheet'!A:C,3,FALSE)))</f>
        <v/>
      </c>
      <c r="D84" t="str">
        <f>IF(A84="","",(VLOOKUP(A84,'Order Sheet'!A:E,5,FALSE)))</f>
        <v/>
      </c>
    </row>
    <row r="85" spans="1:4" x14ac:dyDescent="0.25">
      <c r="A85" t="str">
        <f>IFERROR(SMALL('Order Sheet'!A:A,84),"")</f>
        <v/>
      </c>
      <c r="B85" t="str">
        <f>IF(A85="","",(VLOOKUP(A85,'Order Sheet'!A:B,2,FALSE)))</f>
        <v/>
      </c>
      <c r="C85" t="str">
        <f>IF(A85="","",(VLOOKUP(A85,'Order Sheet'!A:C,3,FALSE)))</f>
        <v/>
      </c>
      <c r="D85" t="str">
        <f>IF(A85="","",(VLOOKUP(A85,'Order Sheet'!A:E,5,FALSE)))</f>
        <v/>
      </c>
    </row>
    <row r="86" spans="1:4" x14ac:dyDescent="0.25">
      <c r="A86" t="str">
        <f>IFERROR(SMALL('Order Sheet'!A:A,85),"")</f>
        <v/>
      </c>
      <c r="B86" t="str">
        <f>IF(A86="","",(VLOOKUP(A86,'Order Sheet'!A:B,2,FALSE)))</f>
        <v/>
      </c>
      <c r="C86" t="str">
        <f>IF(A86="","",(VLOOKUP(A86,'Order Sheet'!A:C,3,FALSE)))</f>
        <v/>
      </c>
      <c r="D86" t="str">
        <f>IF(A86="","",(VLOOKUP(A86,'Order Sheet'!A:E,5,FALSE)))</f>
        <v/>
      </c>
    </row>
    <row r="87" spans="1:4" x14ac:dyDescent="0.25">
      <c r="A87" t="str">
        <f>IFERROR(SMALL('Order Sheet'!A:A,86),"")</f>
        <v/>
      </c>
      <c r="B87" t="str">
        <f>IF(A87="","",(VLOOKUP(A87,'Order Sheet'!A:B,2,FALSE)))</f>
        <v/>
      </c>
      <c r="C87" t="str">
        <f>IF(A87="","",(VLOOKUP(A87,'Order Sheet'!A:C,3,FALSE)))</f>
        <v/>
      </c>
      <c r="D87" t="str">
        <f>IF(A87="","",(VLOOKUP(A87,'Order Sheet'!A:E,5,FALSE)))</f>
        <v/>
      </c>
    </row>
    <row r="88" spans="1:4" x14ac:dyDescent="0.25">
      <c r="A88" t="str">
        <f>IFERROR(SMALL('Order Sheet'!A:A,87),"")</f>
        <v/>
      </c>
      <c r="B88" t="str">
        <f>IF(A88="","",(VLOOKUP(A88,'Order Sheet'!A:B,2,FALSE)))</f>
        <v/>
      </c>
      <c r="C88" t="str">
        <f>IF(A88="","",(VLOOKUP(A88,'Order Sheet'!A:C,3,FALSE)))</f>
        <v/>
      </c>
      <c r="D88" t="str">
        <f>IF(A88="","",(VLOOKUP(A88,'Order Sheet'!A:E,5,FALSE)))</f>
        <v/>
      </c>
    </row>
    <row r="89" spans="1:4" x14ac:dyDescent="0.25">
      <c r="A89" t="str">
        <f>IFERROR(SMALL('Order Sheet'!A:A,88),"")</f>
        <v/>
      </c>
      <c r="B89" t="str">
        <f>IF(A89="","",(VLOOKUP(A89,'Order Sheet'!A:B,2,FALSE)))</f>
        <v/>
      </c>
      <c r="C89" t="str">
        <f>IF(A89="","",(VLOOKUP(A89,'Order Sheet'!A:C,3,FALSE)))</f>
        <v/>
      </c>
      <c r="D89" t="str">
        <f>IF(A89="","",(VLOOKUP(A89,'Order Sheet'!A:E,5,FALSE)))</f>
        <v/>
      </c>
    </row>
    <row r="90" spans="1:4" x14ac:dyDescent="0.25">
      <c r="A90" t="str">
        <f>IFERROR(SMALL('Order Sheet'!A:A,89),"")</f>
        <v/>
      </c>
      <c r="B90" t="str">
        <f>IF(A90="","",(VLOOKUP(A90,'Order Sheet'!A:B,2,FALSE)))</f>
        <v/>
      </c>
      <c r="C90" t="str">
        <f>IF(A90="","",(VLOOKUP(A90,'Order Sheet'!A:C,3,FALSE)))</f>
        <v/>
      </c>
      <c r="D90" t="str">
        <f>IF(A90="","",(VLOOKUP(A90,'Order Sheet'!A:E,5,FALSE)))</f>
        <v/>
      </c>
    </row>
    <row r="91" spans="1:4" x14ac:dyDescent="0.25">
      <c r="A91" t="str">
        <f>IFERROR(SMALL('Order Sheet'!A:A,90),"")</f>
        <v/>
      </c>
      <c r="B91" t="str">
        <f>IF(A91="","",(VLOOKUP(A91,'Order Sheet'!A:B,2,FALSE)))</f>
        <v/>
      </c>
      <c r="C91" t="str">
        <f>IF(A91="","",(VLOOKUP(A91,'Order Sheet'!A:C,3,FALSE)))</f>
        <v/>
      </c>
      <c r="D91" t="str">
        <f>IF(A91="","",(VLOOKUP(A91,'Order Sheet'!A:E,5,FALSE)))</f>
        <v/>
      </c>
    </row>
    <row r="92" spans="1:4" x14ac:dyDescent="0.25">
      <c r="A92" t="str">
        <f>IFERROR(SMALL('Order Sheet'!A:A,91),"")</f>
        <v/>
      </c>
      <c r="B92" t="str">
        <f>IF(A92="","",(VLOOKUP(A92,'Order Sheet'!A:B,2,FALSE)))</f>
        <v/>
      </c>
      <c r="C92" t="str">
        <f>IF(A92="","",(VLOOKUP(A92,'Order Sheet'!A:C,3,FALSE)))</f>
        <v/>
      </c>
      <c r="D92" t="str">
        <f>IF(A92="","",(VLOOKUP(A92,'Order Sheet'!A:E,5,FALSE)))</f>
        <v/>
      </c>
    </row>
    <row r="93" spans="1:4" x14ac:dyDescent="0.25">
      <c r="A93" t="str">
        <f>IFERROR(SMALL('Order Sheet'!A:A,92),"")</f>
        <v/>
      </c>
      <c r="B93" t="str">
        <f>IF(A93="","",(VLOOKUP(A93,'Order Sheet'!A:B,2,FALSE)))</f>
        <v/>
      </c>
      <c r="C93" t="str">
        <f>IF(A93="","",(VLOOKUP(A93,'Order Sheet'!A:C,3,FALSE)))</f>
        <v/>
      </c>
      <c r="D93" t="str">
        <f>IF(A93="","",(VLOOKUP(A93,'Order Sheet'!A:E,5,FALSE)))</f>
        <v/>
      </c>
    </row>
    <row r="94" spans="1:4" x14ac:dyDescent="0.25">
      <c r="A94" t="str">
        <f>IFERROR(SMALL('Order Sheet'!A:A,93),"")</f>
        <v/>
      </c>
      <c r="B94" t="str">
        <f>IF(A94="","",(VLOOKUP(A94,'Order Sheet'!A:B,2,FALSE)))</f>
        <v/>
      </c>
      <c r="C94" t="str">
        <f>IF(A94="","",(VLOOKUP(A94,'Order Sheet'!A:C,3,FALSE)))</f>
        <v/>
      </c>
      <c r="D94" t="str">
        <f>IF(A94="","",(VLOOKUP(A94,'Order Sheet'!A:E,5,FALSE)))</f>
        <v/>
      </c>
    </row>
    <row r="95" spans="1:4" x14ac:dyDescent="0.25">
      <c r="A95" t="str">
        <f>IFERROR(SMALL('Order Sheet'!A:A,94),"")</f>
        <v/>
      </c>
      <c r="B95" t="str">
        <f>IF(A95="","",(VLOOKUP(A95,'Order Sheet'!A:B,2,FALSE)))</f>
        <v/>
      </c>
      <c r="C95" t="str">
        <f>IF(A95="","",(VLOOKUP(A95,'Order Sheet'!A:C,3,FALSE)))</f>
        <v/>
      </c>
      <c r="D95" t="str">
        <f>IF(A95="","",(VLOOKUP(A95,'Order Sheet'!A:E,5,FALSE)))</f>
        <v/>
      </c>
    </row>
    <row r="96" spans="1:4" x14ac:dyDescent="0.25">
      <c r="A96" t="str">
        <f>IFERROR(SMALL('Order Sheet'!A:A,95),"")</f>
        <v/>
      </c>
      <c r="B96" t="str">
        <f>IF(A96="","",(VLOOKUP(A96,'Order Sheet'!A:B,2,FALSE)))</f>
        <v/>
      </c>
      <c r="C96" t="str">
        <f>IF(A96="","",(VLOOKUP(A96,'Order Sheet'!A:C,3,FALSE)))</f>
        <v/>
      </c>
      <c r="D96" t="str">
        <f>IF(A96="","",(VLOOKUP(A96,'Order Sheet'!A:E,5,FALSE)))</f>
        <v/>
      </c>
    </row>
    <row r="97" spans="1:4" x14ac:dyDescent="0.25">
      <c r="A97" t="str">
        <f>IFERROR(SMALL('Order Sheet'!A:A,96),"")</f>
        <v/>
      </c>
      <c r="B97" t="str">
        <f>IF(A97="","",(VLOOKUP(A97,'Order Sheet'!A:B,2,FALSE)))</f>
        <v/>
      </c>
      <c r="C97" t="str">
        <f>IF(A97="","",(VLOOKUP(A97,'Order Sheet'!A:C,3,FALSE)))</f>
        <v/>
      </c>
      <c r="D97" t="str">
        <f>IF(A97="","",(VLOOKUP(A97,'Order Sheet'!A:E,5,FALSE)))</f>
        <v/>
      </c>
    </row>
    <row r="98" spans="1:4" x14ac:dyDescent="0.25">
      <c r="A98" t="str">
        <f>IFERROR(SMALL('Order Sheet'!A:A,97),"")</f>
        <v/>
      </c>
      <c r="B98" t="str">
        <f>IF(A98="","",(VLOOKUP(A98,'Order Sheet'!A:B,2,FALSE)))</f>
        <v/>
      </c>
      <c r="C98" t="str">
        <f>IF(A98="","",(VLOOKUP(A98,'Order Sheet'!A:C,3,FALSE)))</f>
        <v/>
      </c>
      <c r="D98" t="str">
        <f>IF(A98="","",(VLOOKUP(A98,'Order Sheet'!A:E,5,FALSE)))</f>
        <v/>
      </c>
    </row>
    <row r="99" spans="1:4" x14ac:dyDescent="0.25">
      <c r="A99" t="str">
        <f>IFERROR(SMALL('Order Sheet'!A:A,98),"")</f>
        <v/>
      </c>
      <c r="B99" t="str">
        <f>IF(A99="","",(VLOOKUP(A99,'Order Sheet'!A:B,2,FALSE)))</f>
        <v/>
      </c>
      <c r="C99" t="str">
        <f>IF(A99="","",(VLOOKUP(A99,'Order Sheet'!A:C,3,FALSE)))</f>
        <v/>
      </c>
      <c r="D99" t="str">
        <f>IF(A99="","",(VLOOKUP(A99,'Order Sheet'!A:E,5,FALSE)))</f>
        <v/>
      </c>
    </row>
    <row r="100" spans="1:4" x14ac:dyDescent="0.25">
      <c r="A100" t="str">
        <f>IFERROR(SMALL('Order Sheet'!A:A,99),"")</f>
        <v/>
      </c>
      <c r="B100" t="str">
        <f>IF(A100="","",(VLOOKUP(A100,'Order Sheet'!A:B,2,FALSE)))</f>
        <v/>
      </c>
      <c r="C100" t="str">
        <f>IF(A100="","",(VLOOKUP(A100,'Order Sheet'!A:C,3,FALSE)))</f>
        <v/>
      </c>
      <c r="D100" t="str">
        <f>IF(A100="","",(VLOOKUP(A100,'Order Sheet'!A:E,5,FALSE)))</f>
        <v/>
      </c>
    </row>
    <row r="101" spans="1:4" x14ac:dyDescent="0.25">
      <c r="A101" t="str">
        <f>IFERROR(SMALL('Order Sheet'!A:A,100),"")</f>
        <v/>
      </c>
      <c r="B101" t="str">
        <f>IF(A101="","",(VLOOKUP(A101,'Order Sheet'!A:B,2,FALSE)))</f>
        <v/>
      </c>
      <c r="C101" t="str">
        <f>IF(A101="","",(VLOOKUP(A101,'Order Sheet'!A:C,3,FALSE)))</f>
        <v/>
      </c>
      <c r="D101" t="str">
        <f>IF(A101="","",(VLOOKUP(A101,'Order Sheet'!A:E,5,FALSE)))</f>
        <v/>
      </c>
    </row>
    <row r="102" spans="1:4" x14ac:dyDescent="0.25">
      <c r="A102" t="str">
        <f>IFERROR(SMALL('Order Sheet'!A:A,100),"")</f>
        <v/>
      </c>
      <c r="B102" t="str">
        <f>IF(A102="","",(VLOOKUP(A102,'Order Sheet'!A:B,2,FALSE)))</f>
        <v/>
      </c>
      <c r="C102" t="str">
        <f>IF(A102="","",(VLOOKUP(A102,'Order Sheet'!A:C,3,FALSE)))</f>
        <v/>
      </c>
      <c r="D102" t="str">
        <f>IF(A102="","",(VLOOKUP(A102,'Order Sheet'!A:E,5,FALSE)))</f>
        <v/>
      </c>
    </row>
    <row r="103" spans="1:4" x14ac:dyDescent="0.25">
      <c r="A103" t="str">
        <f>IFERROR(SMALL('Order Sheet'!A:A,100),"")</f>
        <v/>
      </c>
      <c r="B103" t="str">
        <f>IF(A103="","",(VLOOKUP(A103,'Order Sheet'!A:B,2,FALSE)))</f>
        <v/>
      </c>
      <c r="C103" t="str">
        <f>IF(A103="","",(VLOOKUP(A103,'Order Sheet'!A:C,3,FALSE)))</f>
        <v/>
      </c>
      <c r="D103" t="str">
        <f>IF(A103="","",(VLOOKUP(A103,'Order Sheet'!A:E,5,FALSE)))</f>
        <v/>
      </c>
    </row>
    <row r="104" spans="1:4" x14ac:dyDescent="0.25">
      <c r="A104" t="str">
        <f>IFERROR(SMALL('Order Sheet'!A:A,100),"")</f>
        <v/>
      </c>
      <c r="B104" t="str">
        <f>IF(A104="","",(VLOOKUP(A104,'Order Sheet'!A:B,2,FALSE)))</f>
        <v/>
      </c>
      <c r="C104" t="str">
        <f>IF(A104="","",(VLOOKUP(A104,'Order Sheet'!A:C,3,FALSE)))</f>
        <v/>
      </c>
      <c r="D104" t="str">
        <f>IF(A104="","",(VLOOKUP(A104,'Order Sheet'!A:E,5,FALSE)))</f>
        <v/>
      </c>
    </row>
    <row r="105" spans="1:4" x14ac:dyDescent="0.25">
      <c r="A105" t="str">
        <f>IFERROR(SMALL('Order Sheet'!A:A,100),"")</f>
        <v/>
      </c>
      <c r="B105" t="str">
        <f>IF(A105="","",(VLOOKUP(A105,'Order Sheet'!A:B,2,FALSE)))</f>
        <v/>
      </c>
      <c r="C105" t="str">
        <f>IF(A105="","",(VLOOKUP(A105,'Order Sheet'!A:C,3,FALSE)))</f>
        <v/>
      </c>
      <c r="D105" t="str">
        <f>IF(A105="","",(VLOOKUP(A105,'Order Sheet'!A:E,5,FALSE)))</f>
        <v/>
      </c>
    </row>
    <row r="106" spans="1:4" x14ac:dyDescent="0.25">
      <c r="A106" t="str">
        <f>IFERROR(SMALL('Order Sheet'!A:A,100),"")</f>
        <v/>
      </c>
      <c r="B106" t="str">
        <f>IF(A106="","",(VLOOKUP(A106,'Order Sheet'!A:B,2,FALSE)))</f>
        <v/>
      </c>
      <c r="C106" t="str">
        <f>IF(A106="","",(VLOOKUP(A106,'Order Sheet'!A:C,3,FALSE)))</f>
        <v/>
      </c>
      <c r="D106" t="str">
        <f>IF(A106="","",(VLOOKUP(A106,'Order Sheet'!A:E,5,FALSE)))</f>
        <v/>
      </c>
    </row>
    <row r="107" spans="1:4" x14ac:dyDescent="0.25">
      <c r="A107" t="str">
        <f>IFERROR(SMALL('Order Sheet'!A:A,100),"")</f>
        <v/>
      </c>
      <c r="B107" t="str">
        <f>IF(A107="","",(VLOOKUP(A107,'Order Sheet'!A:B,2,FALSE)))</f>
        <v/>
      </c>
      <c r="C107" t="str">
        <f>IF(A107="","",(VLOOKUP(A107,'Order Sheet'!A:C,3,FALSE)))</f>
        <v/>
      </c>
      <c r="D107" t="str">
        <f>IF(A107="","",(VLOOKUP(A107,'Order Sheet'!A:E,5,FALSE)))</f>
        <v/>
      </c>
    </row>
    <row r="108" spans="1:4" x14ac:dyDescent="0.25">
      <c r="A108" t="str">
        <f>IFERROR(SMALL('Order Sheet'!A:A,100),"")</f>
        <v/>
      </c>
      <c r="B108" t="str">
        <f>IF(A108="","",(VLOOKUP(A108,'Order Sheet'!A:B,2,FALSE)))</f>
        <v/>
      </c>
      <c r="C108" t="str">
        <f>IF(A108="","",(VLOOKUP(A108,'Order Sheet'!A:C,3,FALSE)))</f>
        <v/>
      </c>
      <c r="D108" t="str">
        <f>IF(A108="","",(VLOOKUP(A108,'Order Sheet'!A:E,5,FALSE)))</f>
        <v/>
      </c>
    </row>
    <row r="109" spans="1:4" x14ac:dyDescent="0.25">
      <c r="A109" t="str">
        <f>IFERROR(SMALL('Order Sheet'!A:A,100),"")</f>
        <v/>
      </c>
      <c r="B109" t="str">
        <f>IF(A109="","",(VLOOKUP(A109,'Order Sheet'!A:B,2,FALSE)))</f>
        <v/>
      </c>
      <c r="C109" t="str">
        <f>IF(A109="","",(VLOOKUP(A109,'Order Sheet'!A:C,3,FALSE)))</f>
        <v/>
      </c>
      <c r="D109" t="str">
        <f>IF(A109="","",(VLOOKUP(A109,'Order Sheet'!A:E,5,FALSE)))</f>
        <v/>
      </c>
    </row>
    <row r="110" spans="1:4" x14ac:dyDescent="0.25">
      <c r="A110" t="str">
        <f>IFERROR(SMALL('Order Sheet'!A:A,100),"")</f>
        <v/>
      </c>
      <c r="B110" t="str">
        <f>IF(A110="","",(VLOOKUP(A110,'Order Sheet'!A:B,2,FALSE)))</f>
        <v/>
      </c>
      <c r="C110" t="str">
        <f>IF(A110="","",(VLOOKUP(A110,'Order Sheet'!A:C,3,FALSE)))</f>
        <v/>
      </c>
      <c r="D110" t="str">
        <f>IF(A110="","",(VLOOKUP(A110,'Order Sheet'!A:E,5,FALSE)))</f>
        <v/>
      </c>
    </row>
    <row r="111" spans="1:4" x14ac:dyDescent="0.25">
      <c r="A111" t="str">
        <f>IFERROR(SMALL('Order Sheet'!A:A,100),"")</f>
        <v/>
      </c>
      <c r="B111" t="str">
        <f>IF(A111="","",(VLOOKUP(A111,'Order Sheet'!A:B,2,FALSE)))</f>
        <v/>
      </c>
      <c r="C111" t="str">
        <f>IF(A111="","",(VLOOKUP(A111,'Order Sheet'!A:C,3,FALSE)))</f>
        <v/>
      </c>
      <c r="D111" t="str">
        <f>IF(A111="","",(VLOOKUP(A111,'Order Sheet'!A:E,5,FALSE)))</f>
        <v/>
      </c>
    </row>
    <row r="112" spans="1:4" x14ac:dyDescent="0.25">
      <c r="A112" t="str">
        <f>IFERROR(SMALL('Order Sheet'!A:A,100),"")</f>
        <v/>
      </c>
      <c r="B112" t="str">
        <f>IF(A112="","",(VLOOKUP(A112,'Order Sheet'!A:B,2,FALSE)))</f>
        <v/>
      </c>
      <c r="C112" t="str">
        <f>IF(A112="","",(VLOOKUP(A112,'Order Sheet'!A:C,3,FALSE)))</f>
        <v/>
      </c>
      <c r="D112" t="str">
        <f>IF(A112="","",(VLOOKUP(A112,'Order Sheet'!A:E,5,FALSE)))</f>
        <v/>
      </c>
    </row>
    <row r="113" spans="1:4" x14ac:dyDescent="0.25">
      <c r="A113" t="str">
        <f>IFERROR(SMALL('Order Sheet'!A:A,100),"")</f>
        <v/>
      </c>
      <c r="B113" t="str">
        <f>IF(A113="","",(VLOOKUP(A113,'Order Sheet'!A:B,2,FALSE)))</f>
        <v/>
      </c>
      <c r="C113" t="str">
        <f>IF(A113="","",(VLOOKUP(A113,'Order Sheet'!A:C,3,FALSE)))</f>
        <v/>
      </c>
      <c r="D113" t="str">
        <f>IF(A113="","",(VLOOKUP(A113,'Order Sheet'!A:E,5,FALSE)))</f>
        <v/>
      </c>
    </row>
    <row r="114" spans="1:4" x14ac:dyDescent="0.25">
      <c r="A114" t="str">
        <f>IFERROR(SMALL('Order Sheet'!A:A,100),"")</f>
        <v/>
      </c>
      <c r="B114" t="str">
        <f>IF(A114="","",(VLOOKUP(A114,'Order Sheet'!A:B,2,FALSE)))</f>
        <v/>
      </c>
      <c r="C114" t="str">
        <f>IF(A114="","",(VLOOKUP(A114,'Order Sheet'!A:C,3,FALSE)))</f>
        <v/>
      </c>
      <c r="D114" t="str">
        <f>IF(A114="","",(VLOOKUP(A114,'Order Sheet'!A:E,5,FALSE)))</f>
        <v/>
      </c>
    </row>
    <row r="115" spans="1:4" x14ac:dyDescent="0.25">
      <c r="A115" t="str">
        <f>IFERROR(SMALL('Order Sheet'!A:A,100),"")</f>
        <v/>
      </c>
      <c r="B115" t="str">
        <f>IF(A115="","",(VLOOKUP(A115,'Order Sheet'!A:B,2,FALSE)))</f>
        <v/>
      </c>
      <c r="C115" t="str">
        <f>IF(A115="","",(VLOOKUP(A115,'Order Sheet'!A:C,3,FALSE)))</f>
        <v/>
      </c>
      <c r="D115" t="str">
        <f>IF(A115="","",(VLOOKUP(A115,'Order Sheet'!A:E,5,FALSE)))</f>
        <v/>
      </c>
    </row>
    <row r="116" spans="1:4" x14ac:dyDescent="0.25">
      <c r="A116" t="str">
        <f>IFERROR(SMALL('Order Sheet'!A:A,100),"")</f>
        <v/>
      </c>
      <c r="B116" t="str">
        <f>IF(A116="","",(VLOOKUP(A116,'Order Sheet'!A:B,2,FALSE)))</f>
        <v/>
      </c>
      <c r="C116" t="str">
        <f>IF(A116="","",(VLOOKUP(A116,'Order Sheet'!A:C,3,FALSE)))</f>
        <v/>
      </c>
      <c r="D116" t="str">
        <f>IF(A116="","",(VLOOKUP(A116,'Order Sheet'!A:E,5,FALSE)))</f>
        <v/>
      </c>
    </row>
    <row r="117" spans="1:4" x14ac:dyDescent="0.25">
      <c r="A117" t="str">
        <f>IFERROR(SMALL('Order Sheet'!A:A,100),"")</f>
        <v/>
      </c>
      <c r="B117" t="str">
        <f>IF(A117="","",(VLOOKUP(A117,'Order Sheet'!A:B,2,FALSE)))</f>
        <v/>
      </c>
      <c r="C117" t="str">
        <f>IF(A117="","",(VLOOKUP(A117,'Order Sheet'!A:C,3,FALSE)))</f>
        <v/>
      </c>
      <c r="D117" t="str">
        <f>IF(A117="","",(VLOOKUP(A117,'Order Sheet'!A:E,5,FALSE)))</f>
        <v/>
      </c>
    </row>
    <row r="118" spans="1:4" x14ac:dyDescent="0.25">
      <c r="A118" t="str">
        <f>IFERROR(SMALL('Order Sheet'!A:A,100),"")</f>
        <v/>
      </c>
      <c r="B118" t="str">
        <f>IF(A118="","",(VLOOKUP(A118,'Order Sheet'!A:B,2,FALSE)))</f>
        <v/>
      </c>
      <c r="C118" t="str">
        <f>IF(A118="","",(VLOOKUP(A118,'Order Sheet'!A:C,3,FALSE)))</f>
        <v/>
      </c>
      <c r="D118" t="str">
        <f>IF(A118="","",(VLOOKUP(A118,'Order Sheet'!A:E,5,FALSE)))</f>
        <v/>
      </c>
    </row>
    <row r="119" spans="1:4" x14ac:dyDescent="0.25">
      <c r="A119" t="str">
        <f>IFERROR(SMALL('Order Sheet'!A:A,100),"")</f>
        <v/>
      </c>
      <c r="B119" t="str">
        <f>IF(A119="","",(VLOOKUP(A119,'Order Sheet'!A:B,2,FALSE)))</f>
        <v/>
      </c>
      <c r="C119" t="str">
        <f>IF(A119="","",(VLOOKUP(A119,'Order Sheet'!A:C,3,FALSE)))</f>
        <v/>
      </c>
      <c r="D119" t="str">
        <f>IF(A119="","",(VLOOKUP(A119,'Order Sheet'!A:E,5,FALSE)))</f>
        <v/>
      </c>
    </row>
    <row r="120" spans="1:4" x14ac:dyDescent="0.25">
      <c r="A120" t="str">
        <f>IFERROR(SMALL('Order Sheet'!A:A,100),"")</f>
        <v/>
      </c>
      <c r="B120" t="str">
        <f>IF(A120="","",(VLOOKUP(A120,'Order Sheet'!A:B,2,FALSE)))</f>
        <v/>
      </c>
      <c r="C120" t="str">
        <f>IF(A120="","",(VLOOKUP(A120,'Order Sheet'!A:C,3,FALSE)))</f>
        <v/>
      </c>
      <c r="D120" t="str">
        <f>IF(A120="","",(VLOOKUP(A120,'Order Sheet'!A:E,5,FALSE)))</f>
        <v/>
      </c>
    </row>
    <row r="121" spans="1:4" x14ac:dyDescent="0.25">
      <c r="A121" t="str">
        <f>IFERROR(SMALL('Order Sheet'!A:A,100),"")</f>
        <v/>
      </c>
      <c r="B121" t="str">
        <f>IF(A121="","",(VLOOKUP(A121,'Order Sheet'!A:B,2,FALSE)))</f>
        <v/>
      </c>
      <c r="C121" t="str">
        <f>IF(A121="","",(VLOOKUP(A121,'Order Sheet'!A:C,3,FALSE)))</f>
        <v/>
      </c>
      <c r="D121" t="str">
        <f>IF(A121="","",(VLOOKUP(A121,'Order Sheet'!A:E,5,FALSE)))</f>
        <v/>
      </c>
    </row>
    <row r="122" spans="1:4" x14ac:dyDescent="0.25">
      <c r="A122" t="str">
        <f>IFERROR(SMALL('Order Sheet'!A:A,100),"")</f>
        <v/>
      </c>
      <c r="B122" t="str">
        <f>IF(A122="","",(VLOOKUP(A122,'Order Sheet'!A:B,2,FALSE)))</f>
        <v/>
      </c>
      <c r="C122" t="str">
        <f>IF(A122="","",(VLOOKUP(A122,'Order Sheet'!A:C,3,FALSE)))</f>
        <v/>
      </c>
      <c r="D122" t="str">
        <f>IF(A122="","",(VLOOKUP(A122,'Order Sheet'!A:E,5,FALSE)))</f>
        <v/>
      </c>
    </row>
    <row r="123" spans="1:4" x14ac:dyDescent="0.25">
      <c r="A123" t="str">
        <f>IFERROR(SMALL('Order Sheet'!A:A,100),"")</f>
        <v/>
      </c>
      <c r="B123" t="str">
        <f>IF(A123="","",(VLOOKUP(A123,'Order Sheet'!A:B,2,FALSE)))</f>
        <v/>
      </c>
      <c r="C123" t="str">
        <f>IF(A123="","",(VLOOKUP(A123,'Order Sheet'!A:C,3,FALSE)))</f>
        <v/>
      </c>
      <c r="D123" t="str">
        <f>IF(A123="","",(VLOOKUP(A123,'Order Sheet'!A:E,5,FALSE)))</f>
        <v/>
      </c>
    </row>
    <row r="124" spans="1:4" x14ac:dyDescent="0.25">
      <c r="A124" t="str">
        <f>IFERROR(SMALL('Order Sheet'!A:A,100),"")</f>
        <v/>
      </c>
      <c r="B124" t="str">
        <f>IF(A124="","",(VLOOKUP(A124,'Order Sheet'!A:B,2,FALSE)))</f>
        <v/>
      </c>
      <c r="C124" t="str">
        <f>IF(A124="","",(VLOOKUP(A124,'Order Sheet'!A:C,3,FALSE)))</f>
        <v/>
      </c>
      <c r="D124" t="str">
        <f>IF(A124="","",(VLOOKUP(A124,'Order Sheet'!A:E,5,FALSE)))</f>
        <v/>
      </c>
    </row>
    <row r="125" spans="1:4" x14ac:dyDescent="0.25">
      <c r="A125" t="str">
        <f>IFERROR(SMALL('Order Sheet'!A:A,100),"")</f>
        <v/>
      </c>
      <c r="B125" t="str">
        <f>IF(A125="","",(VLOOKUP(A125,'Order Sheet'!A:B,2,FALSE)))</f>
        <v/>
      </c>
      <c r="C125" t="str">
        <f>IF(A125="","",(VLOOKUP(A125,'Order Sheet'!A:C,3,FALSE)))</f>
        <v/>
      </c>
      <c r="D125" t="str">
        <f>IF(A125="","",(VLOOKUP(A125,'Order Sheet'!A:E,5,FALSE)))</f>
        <v/>
      </c>
    </row>
    <row r="126" spans="1:4" x14ac:dyDescent="0.25">
      <c r="A126" t="str">
        <f>IFERROR(SMALL('Order Sheet'!A:A,100),"")</f>
        <v/>
      </c>
      <c r="B126" t="str">
        <f>IF(A126="","",(VLOOKUP(A126,'Order Sheet'!A:B,2,FALSE)))</f>
        <v/>
      </c>
      <c r="C126" t="str">
        <f>IF(A126="","",(VLOOKUP(A126,'Order Sheet'!A:C,3,FALSE)))</f>
        <v/>
      </c>
      <c r="D126" t="str">
        <f>IF(A126="","",(VLOOKUP(A126,'Order Sheet'!A:E,5,FALSE)))</f>
        <v/>
      </c>
    </row>
    <row r="127" spans="1:4" x14ac:dyDescent="0.25">
      <c r="A127" t="str">
        <f>IFERROR(SMALL('Order Sheet'!A:A,100),"")</f>
        <v/>
      </c>
      <c r="B127" t="str">
        <f>IF(A127="","",(VLOOKUP(A127,'Order Sheet'!A:B,2,FALSE)))</f>
        <v/>
      </c>
      <c r="C127" t="str">
        <f>IF(A127="","",(VLOOKUP(A127,'Order Sheet'!A:C,3,FALSE)))</f>
        <v/>
      </c>
      <c r="D127" t="str">
        <f>IF(A127="","",(VLOOKUP(A127,'Order Sheet'!A:E,5,FALSE)))</f>
        <v/>
      </c>
    </row>
    <row r="128" spans="1:4" x14ac:dyDescent="0.25">
      <c r="A128" t="str">
        <f>IFERROR(SMALL('Order Sheet'!A:A,100),"")</f>
        <v/>
      </c>
      <c r="B128" t="str">
        <f>IF(A128="","",(VLOOKUP(A128,'Order Sheet'!A:B,2,FALSE)))</f>
        <v/>
      </c>
      <c r="C128" t="str">
        <f>IF(A128="","",(VLOOKUP(A128,'Order Sheet'!A:C,3,FALSE)))</f>
        <v/>
      </c>
      <c r="D128" t="str">
        <f>IF(A128="","",(VLOOKUP(A128,'Order Sheet'!A:E,5,FALSE)))</f>
        <v/>
      </c>
    </row>
    <row r="129" spans="1:4" x14ac:dyDescent="0.25">
      <c r="A129" t="str">
        <f>IFERROR(SMALL('Order Sheet'!A:A,100),"")</f>
        <v/>
      </c>
      <c r="B129" t="str">
        <f>IF(A129="","",(VLOOKUP(A129,'Order Sheet'!A:B,2,FALSE)))</f>
        <v/>
      </c>
      <c r="C129" t="str">
        <f>IF(A129="","",(VLOOKUP(A129,'Order Sheet'!A:C,3,FALSE)))</f>
        <v/>
      </c>
      <c r="D129" t="str">
        <f>IF(A129="","",(VLOOKUP(A129,'Order Sheet'!A:E,5,FALSE)))</f>
        <v/>
      </c>
    </row>
    <row r="130" spans="1:4" x14ac:dyDescent="0.25">
      <c r="A130" t="str">
        <f>IFERROR(SMALL('Order Sheet'!A:A,100),"")</f>
        <v/>
      </c>
      <c r="B130" t="str">
        <f>IF(A130="","",(VLOOKUP(A130,'Order Sheet'!A:B,2,FALSE)))</f>
        <v/>
      </c>
      <c r="C130" t="str">
        <f>IF(A130="","",(VLOOKUP(A130,'Order Sheet'!A:C,3,FALSE)))</f>
        <v/>
      </c>
      <c r="D130" t="str">
        <f>IF(A130="","",(VLOOKUP(A130,'Order Sheet'!A:E,5,FALSE)))</f>
        <v/>
      </c>
    </row>
    <row r="131" spans="1:4" x14ac:dyDescent="0.25">
      <c r="A131" t="str">
        <f>IFERROR(SMALL('Order Sheet'!A:A,100),"")</f>
        <v/>
      </c>
      <c r="B131" t="str">
        <f>IF(A131="","",(VLOOKUP(A131,'Order Sheet'!A:B,2,FALSE)))</f>
        <v/>
      </c>
      <c r="C131" t="str">
        <f>IF(A131="","",(VLOOKUP(A131,'Order Sheet'!A:C,3,FALSE)))</f>
        <v/>
      </c>
      <c r="D131" t="str">
        <f>IF(A131="","",(VLOOKUP(A131,'Order Sheet'!A:E,5,FALSE)))</f>
        <v/>
      </c>
    </row>
    <row r="132" spans="1:4" x14ac:dyDescent="0.25">
      <c r="A132" t="str">
        <f>IFERROR(SMALL('Order Sheet'!A:A,100),"")</f>
        <v/>
      </c>
      <c r="B132" t="str">
        <f>IF(A132="","",(VLOOKUP(A132,'Order Sheet'!A:B,2,FALSE)))</f>
        <v/>
      </c>
      <c r="C132" t="str">
        <f>IF(A132="","",(VLOOKUP(A132,'Order Sheet'!A:C,3,FALSE)))</f>
        <v/>
      </c>
      <c r="D132" t="str">
        <f>IF(A132="","",(VLOOKUP(A132,'Order Sheet'!A:E,5,FALSE)))</f>
        <v/>
      </c>
    </row>
    <row r="133" spans="1:4" x14ac:dyDescent="0.25">
      <c r="A133" t="str">
        <f>IFERROR(SMALL('Order Sheet'!A:A,100),"")</f>
        <v/>
      </c>
      <c r="B133" t="str">
        <f>IF(A133="","",(VLOOKUP(A133,'Order Sheet'!A:B,2,FALSE)))</f>
        <v/>
      </c>
      <c r="C133" t="str">
        <f>IF(A133="","",(VLOOKUP(A133,'Order Sheet'!A:C,3,FALSE)))</f>
        <v/>
      </c>
      <c r="D133" t="str">
        <f>IF(A133="","",(VLOOKUP(A133,'Order Sheet'!A:E,5,FALSE)))</f>
        <v/>
      </c>
    </row>
    <row r="134" spans="1:4" x14ac:dyDescent="0.25">
      <c r="A134" t="str">
        <f>IFERROR(SMALL('Order Sheet'!A:A,100),"")</f>
        <v/>
      </c>
      <c r="B134" t="str">
        <f>IF(A134="","",(VLOOKUP(A134,'Order Sheet'!A:B,2,FALSE)))</f>
        <v/>
      </c>
      <c r="C134" t="str">
        <f>IF(A134="","",(VLOOKUP(A134,'Order Sheet'!A:C,3,FALSE)))</f>
        <v/>
      </c>
      <c r="D134" t="str">
        <f>IF(A134="","",(VLOOKUP(A134,'Order Sheet'!A:E,5,FALSE)))</f>
        <v/>
      </c>
    </row>
    <row r="135" spans="1:4" x14ac:dyDescent="0.25">
      <c r="A135" t="str">
        <f>IFERROR(SMALL('Order Sheet'!A:A,100),"")</f>
        <v/>
      </c>
      <c r="B135" t="str">
        <f>IF(A135="","",(VLOOKUP(A135,'Order Sheet'!A:B,2,FALSE)))</f>
        <v/>
      </c>
      <c r="C135" t="str">
        <f>IF(A135="","",(VLOOKUP(A135,'Order Sheet'!A:C,3,FALSE)))</f>
        <v/>
      </c>
      <c r="D135" t="str">
        <f>IF(A135="","",(VLOOKUP(A135,'Order Sheet'!A:E,5,FALSE)))</f>
        <v/>
      </c>
    </row>
    <row r="136" spans="1:4" x14ac:dyDescent="0.25">
      <c r="A136" t="str">
        <f>IFERROR(SMALL('Order Sheet'!A:A,100),"")</f>
        <v/>
      </c>
      <c r="B136" t="str">
        <f>IF(A136="","",(VLOOKUP(A136,'Order Sheet'!A:B,2,FALSE)))</f>
        <v/>
      </c>
      <c r="C136" t="str">
        <f>IF(A136="","",(VLOOKUP(A136,'Order Sheet'!A:C,3,FALSE)))</f>
        <v/>
      </c>
      <c r="D136" t="str">
        <f>IF(A136="","",(VLOOKUP(A136,'Order Sheet'!A:E,5,FALSE)))</f>
        <v/>
      </c>
    </row>
    <row r="137" spans="1:4" x14ac:dyDescent="0.25">
      <c r="A137" t="str">
        <f>IFERROR(SMALL('Order Sheet'!A:A,100),"")</f>
        <v/>
      </c>
      <c r="B137" t="str">
        <f>IF(A137="","",(VLOOKUP(A137,'Order Sheet'!A:B,2,FALSE)))</f>
        <v/>
      </c>
      <c r="C137" t="str">
        <f>IF(A137="","",(VLOOKUP(A137,'Order Sheet'!A:C,3,FALSE)))</f>
        <v/>
      </c>
      <c r="D137" t="str">
        <f>IF(A137="","",(VLOOKUP(A137,'Order Sheet'!A:E,5,FALSE)))</f>
        <v/>
      </c>
    </row>
    <row r="138" spans="1:4" x14ac:dyDescent="0.25">
      <c r="A138" t="str">
        <f>IFERROR(SMALL('Order Sheet'!A:A,100),"")</f>
        <v/>
      </c>
      <c r="B138" t="str">
        <f>IF(A138="","",(VLOOKUP(A138,'Order Sheet'!A:B,2,FALSE)))</f>
        <v/>
      </c>
      <c r="C138" t="str">
        <f>IF(A138="","",(VLOOKUP(A138,'Order Sheet'!A:C,3,FALSE)))</f>
        <v/>
      </c>
      <c r="D138" t="str">
        <f>IF(A138="","",(VLOOKUP(A138,'Order Sheet'!A:E,5,FALSE)))</f>
        <v/>
      </c>
    </row>
    <row r="139" spans="1:4" x14ac:dyDescent="0.25">
      <c r="A139" t="str">
        <f>IFERROR(SMALL('Order Sheet'!A:A,100),"")</f>
        <v/>
      </c>
      <c r="B139" t="str">
        <f>IF(A139="","",(VLOOKUP(A139,'Order Sheet'!A:B,2,FALSE)))</f>
        <v/>
      </c>
      <c r="C139" t="str">
        <f>IF(A139="","",(VLOOKUP(A139,'Order Sheet'!A:C,3,FALSE)))</f>
        <v/>
      </c>
      <c r="D139" t="str">
        <f>IF(A139="","",(VLOOKUP(A139,'Order Sheet'!A:E,5,FALSE)))</f>
        <v/>
      </c>
    </row>
    <row r="140" spans="1:4" x14ac:dyDescent="0.25">
      <c r="A140" t="str">
        <f>IFERROR(SMALL('Order Sheet'!A:A,100),"")</f>
        <v/>
      </c>
      <c r="B140" t="str">
        <f>IF(A140="","",(VLOOKUP(A140,'Order Sheet'!A:B,2,FALSE)))</f>
        <v/>
      </c>
      <c r="C140" t="str">
        <f>IF(A140="","",(VLOOKUP(A140,'Order Sheet'!A:C,3,FALSE)))</f>
        <v/>
      </c>
      <c r="D140" t="str">
        <f>IF(A140="","",(VLOOKUP(A140,'Order Sheet'!A:E,5,FALSE)))</f>
        <v/>
      </c>
    </row>
    <row r="141" spans="1:4" x14ac:dyDescent="0.25">
      <c r="A141" t="str">
        <f>IFERROR(SMALL('Order Sheet'!A:A,100),"")</f>
        <v/>
      </c>
      <c r="B141" t="str">
        <f>IF(A141="","",(VLOOKUP(A141,'Order Sheet'!A:B,2,FALSE)))</f>
        <v/>
      </c>
      <c r="C141" t="str">
        <f>IF(A141="","",(VLOOKUP(A141,'Order Sheet'!A:C,3,FALSE)))</f>
        <v/>
      </c>
      <c r="D141" t="str">
        <f>IF(A141="","",(VLOOKUP(A141,'Order Sheet'!A:E,5,FALSE)))</f>
        <v/>
      </c>
    </row>
    <row r="142" spans="1:4" x14ac:dyDescent="0.25">
      <c r="A142" t="str">
        <f>IFERROR(SMALL('Order Sheet'!A:A,100),"")</f>
        <v/>
      </c>
      <c r="B142" t="str">
        <f>IF(A142="","",(VLOOKUP(A142,'Order Sheet'!A:B,2,FALSE)))</f>
        <v/>
      </c>
      <c r="C142" t="str">
        <f>IF(A142="","",(VLOOKUP(A142,'Order Sheet'!A:C,3,FALSE)))</f>
        <v/>
      </c>
      <c r="D142" t="str">
        <f>IF(A142="","",(VLOOKUP(A142,'Order Sheet'!A:E,5,FALSE)))</f>
        <v/>
      </c>
    </row>
    <row r="143" spans="1:4" x14ac:dyDescent="0.25">
      <c r="A143" t="str">
        <f>IFERROR(SMALL('Order Sheet'!A:A,100),"")</f>
        <v/>
      </c>
      <c r="B143" t="str">
        <f>IF(A143="","",(VLOOKUP(A143,'Order Sheet'!A:B,2,FALSE)))</f>
        <v/>
      </c>
      <c r="C143" t="str">
        <f>IF(A143="","",(VLOOKUP(A143,'Order Sheet'!A:C,3,FALSE)))</f>
        <v/>
      </c>
      <c r="D143" t="str">
        <f>IF(A143="","",(VLOOKUP(A143,'Order Sheet'!A:E,5,FALSE)))</f>
        <v/>
      </c>
    </row>
    <row r="144" spans="1:4" x14ac:dyDescent="0.25">
      <c r="A144" t="str">
        <f>IFERROR(SMALL('Order Sheet'!A:A,100),"")</f>
        <v/>
      </c>
      <c r="B144" t="str">
        <f>IF(A144="","",(VLOOKUP(A144,'Order Sheet'!A:B,2,FALSE)))</f>
        <v/>
      </c>
      <c r="C144" t="str">
        <f>IF(A144="","",(VLOOKUP(A144,'Order Sheet'!A:C,3,FALSE)))</f>
        <v/>
      </c>
      <c r="D144" t="str">
        <f>IF(A144="","",(VLOOKUP(A144,'Order Sheet'!A:E,5,FALSE)))</f>
        <v/>
      </c>
    </row>
    <row r="145" spans="1:4" x14ac:dyDescent="0.25">
      <c r="A145" t="str">
        <f>IFERROR(SMALL('Order Sheet'!A:A,100),"")</f>
        <v/>
      </c>
      <c r="B145" t="str">
        <f>IF(A145="","",(VLOOKUP(A145,'Order Sheet'!A:B,2,FALSE)))</f>
        <v/>
      </c>
      <c r="C145" t="str">
        <f>IF(A145="","",(VLOOKUP(A145,'Order Sheet'!A:C,3,FALSE)))</f>
        <v/>
      </c>
      <c r="D145" t="str">
        <f>IF(A145="","",(VLOOKUP(A145,'Order Sheet'!A:E,5,FALSE)))</f>
        <v/>
      </c>
    </row>
    <row r="146" spans="1:4" x14ac:dyDescent="0.25">
      <c r="A146" t="str">
        <f>IFERROR(SMALL('Order Sheet'!A:A,100),"")</f>
        <v/>
      </c>
      <c r="B146" t="str">
        <f>IF(A146="","",(VLOOKUP(A146,'Order Sheet'!A:B,2,FALSE)))</f>
        <v/>
      </c>
      <c r="C146" t="str">
        <f>IF(A146="","",(VLOOKUP(A146,'Order Sheet'!A:C,3,FALSE)))</f>
        <v/>
      </c>
      <c r="D146" t="str">
        <f>IF(A146="","",(VLOOKUP(A146,'Order Sheet'!A:E,5,FALSE)))</f>
        <v/>
      </c>
    </row>
    <row r="147" spans="1:4" x14ac:dyDescent="0.25">
      <c r="A147" t="str">
        <f>IFERROR(SMALL('Order Sheet'!A:A,100),"")</f>
        <v/>
      </c>
      <c r="B147" t="str">
        <f>IF(A147="","",(VLOOKUP(A147,'Order Sheet'!A:B,2,FALSE)))</f>
        <v/>
      </c>
      <c r="C147" t="str">
        <f>IF(A147="","",(VLOOKUP(A147,'Order Sheet'!A:C,3,FALSE)))</f>
        <v/>
      </c>
      <c r="D147" t="str">
        <f>IF(A147="","",(VLOOKUP(A147,'Order Sheet'!A:E,5,FALSE)))</f>
        <v/>
      </c>
    </row>
    <row r="148" spans="1:4" x14ac:dyDescent="0.25">
      <c r="A148" t="str">
        <f>IFERROR(SMALL('Order Sheet'!A:A,100),"")</f>
        <v/>
      </c>
      <c r="B148" t="str">
        <f>IF(A148="","",(VLOOKUP(A148,'Order Sheet'!A:B,2,FALSE)))</f>
        <v/>
      </c>
      <c r="C148" t="str">
        <f>IF(A148="","",(VLOOKUP(A148,'Order Sheet'!A:C,3,FALSE)))</f>
        <v/>
      </c>
      <c r="D148" t="str">
        <f>IF(A148="","",(VLOOKUP(A148,'Order Sheet'!A:E,5,FALSE)))</f>
        <v/>
      </c>
    </row>
    <row r="149" spans="1:4" x14ac:dyDescent="0.25">
      <c r="A149" t="str">
        <f>IFERROR(SMALL('Order Sheet'!A:A,100),"")</f>
        <v/>
      </c>
      <c r="B149" t="str">
        <f>IF(A149="","",(VLOOKUP(A149,'Order Sheet'!A:B,2,FALSE)))</f>
        <v/>
      </c>
      <c r="C149" t="str">
        <f>IF(A149="","",(VLOOKUP(A149,'Order Sheet'!A:C,3,FALSE)))</f>
        <v/>
      </c>
      <c r="D149" t="str">
        <f>IF(A149="","",(VLOOKUP(A149,'Order Sheet'!A:E,5,FALSE)))</f>
        <v/>
      </c>
    </row>
    <row r="150" spans="1:4" x14ac:dyDescent="0.25">
      <c r="A150" t="str">
        <f>IFERROR(SMALL('Order Sheet'!A:A,100),"")</f>
        <v/>
      </c>
      <c r="B150" t="str">
        <f>IF(A150="","",(VLOOKUP(A150,'Order Sheet'!A:B,2,FALSE)))</f>
        <v/>
      </c>
      <c r="C150" t="str">
        <f>IF(A150="","",(VLOOKUP(A150,'Order Sheet'!A:C,3,FALSE)))</f>
        <v/>
      </c>
      <c r="D150" t="str">
        <f>IF(A150="","",(VLOOKUP(A150,'Order Sheet'!A:E,5,FALSE)))</f>
        <v/>
      </c>
    </row>
    <row r="151" spans="1:4" x14ac:dyDescent="0.25">
      <c r="A151" t="str">
        <f>IFERROR(SMALL('Order Sheet'!A:A,100),"")</f>
        <v/>
      </c>
      <c r="B151" t="str">
        <f>IF(A151="","",(VLOOKUP(A151,'Order Sheet'!A:B,2,FALSE)))</f>
        <v/>
      </c>
      <c r="C151" t="str">
        <f>IF(A151="","",(VLOOKUP(A151,'Order Sheet'!A:C,3,FALSE)))</f>
        <v/>
      </c>
      <c r="D151" t="str">
        <f>IF(A151="","",(VLOOKUP(A151,'Order Sheet'!A:E,5,FALSE)))</f>
        <v/>
      </c>
    </row>
    <row r="152" spans="1:4" x14ac:dyDescent="0.25">
      <c r="A152" t="str">
        <f>IFERROR(SMALL('Order Sheet'!A:A,100),"")</f>
        <v/>
      </c>
      <c r="B152" t="str">
        <f>IF(A152="","",(VLOOKUP(A152,'Order Sheet'!A:B,2,FALSE)))</f>
        <v/>
      </c>
      <c r="C152" t="str">
        <f>IF(A152="","",(VLOOKUP(A152,'Order Sheet'!A:C,3,FALSE)))</f>
        <v/>
      </c>
      <c r="D152" t="str">
        <f>IF(A152="","",(VLOOKUP(A152,'Order Sheet'!A:E,5,FALSE)))</f>
        <v/>
      </c>
    </row>
    <row r="153" spans="1:4" x14ac:dyDescent="0.25">
      <c r="A153" t="str">
        <f>IFERROR(SMALL('Order Sheet'!A:A,100),"")</f>
        <v/>
      </c>
      <c r="B153" t="str">
        <f>IF(A153="","",(VLOOKUP(A153,'Order Sheet'!A:B,2,FALSE)))</f>
        <v/>
      </c>
      <c r="C153" t="str">
        <f>IF(A153="","",(VLOOKUP(A153,'Order Sheet'!A:C,3,FALSE)))</f>
        <v/>
      </c>
      <c r="D153" t="str">
        <f>IF(A153="","",(VLOOKUP(A153,'Order Sheet'!A:E,5,FALSE)))</f>
        <v/>
      </c>
    </row>
    <row r="154" spans="1:4" x14ac:dyDescent="0.25">
      <c r="A154" t="str">
        <f>IFERROR(SMALL('Order Sheet'!A:A,100),"")</f>
        <v/>
      </c>
      <c r="B154" t="str">
        <f>IF(A154="","",(VLOOKUP(A154,'Order Sheet'!A:B,2,FALSE)))</f>
        <v/>
      </c>
      <c r="C154" t="str">
        <f>IF(A154="","",(VLOOKUP(A154,'Order Sheet'!A:C,3,FALSE)))</f>
        <v/>
      </c>
      <c r="D154" t="str">
        <f>IF(A154="","",(VLOOKUP(A154,'Order Sheet'!A:E,5,FALSE)))</f>
        <v/>
      </c>
    </row>
    <row r="155" spans="1:4" x14ac:dyDescent="0.25">
      <c r="A155" t="str">
        <f>IFERROR(SMALL('Order Sheet'!A:A,100),"")</f>
        <v/>
      </c>
      <c r="B155" t="str">
        <f>IF(A155="","",(VLOOKUP(A155,'Order Sheet'!A:B,2,FALSE)))</f>
        <v/>
      </c>
      <c r="C155" t="str">
        <f>IF(A155="","",(VLOOKUP(A155,'Order Sheet'!A:C,3,FALSE)))</f>
        <v/>
      </c>
      <c r="D155" t="str">
        <f>IF(A155="","",(VLOOKUP(A155,'Order Sheet'!A:E,5,FALSE)))</f>
        <v/>
      </c>
    </row>
    <row r="156" spans="1:4" x14ac:dyDescent="0.25">
      <c r="A156" t="str">
        <f>IFERROR(SMALL('Order Sheet'!A:A,100),"")</f>
        <v/>
      </c>
      <c r="B156" t="str">
        <f>IF(A156="","",(VLOOKUP(A156,'Order Sheet'!A:B,2,FALSE)))</f>
        <v/>
      </c>
      <c r="C156" t="str">
        <f>IF(A156="","",(VLOOKUP(A156,'Order Sheet'!A:C,3,FALSE)))</f>
        <v/>
      </c>
      <c r="D156" t="str">
        <f>IF(A156="","",(VLOOKUP(A156,'Order Sheet'!A:E,5,FALSE)))</f>
        <v/>
      </c>
    </row>
    <row r="157" spans="1:4" x14ac:dyDescent="0.25">
      <c r="A157" t="str">
        <f>IFERROR(SMALL('Order Sheet'!A:A,100),"")</f>
        <v/>
      </c>
      <c r="B157" t="str">
        <f>IF(A157="","",(VLOOKUP(A157,'Order Sheet'!A:B,2,FALSE)))</f>
        <v/>
      </c>
      <c r="C157" t="str">
        <f>IF(A157="","",(VLOOKUP(A157,'Order Sheet'!A:C,3,FALSE)))</f>
        <v/>
      </c>
      <c r="D157" t="str">
        <f>IF(A157="","",(VLOOKUP(A157,'Order Sheet'!A:E,5,FALSE)))</f>
        <v/>
      </c>
    </row>
    <row r="158" spans="1:4" x14ac:dyDescent="0.25">
      <c r="A158" t="str">
        <f>IFERROR(SMALL('Order Sheet'!A:A,100),"")</f>
        <v/>
      </c>
      <c r="B158" t="str">
        <f>IF(A158="","",(VLOOKUP(A158,'Order Sheet'!A:B,2,FALSE)))</f>
        <v/>
      </c>
      <c r="C158" t="str">
        <f>IF(A158="","",(VLOOKUP(A158,'Order Sheet'!A:C,3,FALSE)))</f>
        <v/>
      </c>
      <c r="D158" t="str">
        <f>IF(A158="","",(VLOOKUP(A158,'Order Sheet'!A:E,5,FALSE)))</f>
        <v/>
      </c>
    </row>
    <row r="159" spans="1:4" x14ac:dyDescent="0.25">
      <c r="A159" t="str">
        <f>IFERROR(SMALL('Order Sheet'!A:A,100),"")</f>
        <v/>
      </c>
      <c r="B159" t="str">
        <f>IF(A159="","",(VLOOKUP(A159,'Order Sheet'!A:B,2,FALSE)))</f>
        <v/>
      </c>
      <c r="C159" t="str">
        <f>IF(A159="","",(VLOOKUP(A159,'Order Sheet'!A:C,3,FALSE)))</f>
        <v/>
      </c>
      <c r="D159" t="str">
        <f>IF(A159="","",(VLOOKUP(A159,'Order Sheet'!A:E,5,FALSE)))</f>
        <v/>
      </c>
    </row>
    <row r="160" spans="1:4" x14ac:dyDescent="0.25">
      <c r="A160" t="str">
        <f>IFERROR(SMALL('Order Sheet'!A:A,100),"")</f>
        <v/>
      </c>
      <c r="B160" t="str">
        <f>IF(A160="","",(VLOOKUP(A160,'Order Sheet'!A:B,2,FALSE)))</f>
        <v/>
      </c>
      <c r="C160" t="str">
        <f>IF(A160="","",(VLOOKUP(A160,'Order Sheet'!A:C,3,FALSE)))</f>
        <v/>
      </c>
      <c r="D160" t="str">
        <f>IF(A160="","",(VLOOKUP(A160,'Order Sheet'!A:E,5,FALSE)))</f>
        <v/>
      </c>
    </row>
    <row r="161" spans="1:4" x14ac:dyDescent="0.25">
      <c r="A161" t="str">
        <f>IFERROR(SMALL('Order Sheet'!A:A,100),"")</f>
        <v/>
      </c>
      <c r="B161" t="str">
        <f>IF(A161="","",(VLOOKUP(A161,'Order Sheet'!A:B,2,FALSE)))</f>
        <v/>
      </c>
      <c r="C161" t="str">
        <f>IF(A161="","",(VLOOKUP(A161,'Order Sheet'!A:C,3,FALSE)))</f>
        <v/>
      </c>
      <c r="D161" t="str">
        <f>IF(A161="","",(VLOOKUP(A161,'Order Sheet'!A:E,5,FALSE)))</f>
        <v/>
      </c>
    </row>
    <row r="162" spans="1:4" x14ac:dyDescent="0.25">
      <c r="A162" t="str">
        <f>IFERROR(SMALL('Order Sheet'!A:A,100),"")</f>
        <v/>
      </c>
      <c r="B162" t="str">
        <f>IF(A162="","",(VLOOKUP(A162,'Order Sheet'!A:B,2,FALSE)))</f>
        <v/>
      </c>
      <c r="C162" t="str">
        <f>IF(A162="","",(VLOOKUP(A162,'Order Sheet'!A:C,3,FALSE)))</f>
        <v/>
      </c>
      <c r="D162" t="str">
        <f>IF(A162="","",(VLOOKUP(A162,'Order Sheet'!A:E,5,FALSE)))</f>
        <v/>
      </c>
    </row>
    <row r="163" spans="1:4" x14ac:dyDescent="0.25">
      <c r="A163" t="str">
        <f>IFERROR(SMALL('Order Sheet'!A:A,100),"")</f>
        <v/>
      </c>
      <c r="B163" t="str">
        <f>IF(A163="","",(VLOOKUP(A163,'Order Sheet'!A:B,2,FALSE)))</f>
        <v/>
      </c>
      <c r="C163" t="str">
        <f>IF(A163="","",(VLOOKUP(A163,'Order Sheet'!A:C,3,FALSE)))</f>
        <v/>
      </c>
      <c r="D163" t="str">
        <f>IF(A163="","",(VLOOKUP(A163,'Order Sheet'!A:E,5,FALSE)))</f>
        <v/>
      </c>
    </row>
    <row r="164" spans="1:4" x14ac:dyDescent="0.25">
      <c r="A164" t="str">
        <f>IFERROR(SMALL('Order Sheet'!A:A,100),"")</f>
        <v/>
      </c>
      <c r="B164" t="str">
        <f>IF(A164="","",(VLOOKUP(A164,'Order Sheet'!A:B,2,FALSE)))</f>
        <v/>
      </c>
      <c r="C164" t="str">
        <f>IF(A164="","",(VLOOKUP(A164,'Order Sheet'!A:C,3,FALSE)))</f>
        <v/>
      </c>
      <c r="D164" t="str">
        <f>IF(A164="","",(VLOOKUP(A164,'Order Sheet'!A:E,5,FALSE)))</f>
        <v/>
      </c>
    </row>
    <row r="165" spans="1:4" x14ac:dyDescent="0.25">
      <c r="A165" t="str">
        <f>IFERROR(SMALL('Order Sheet'!A:A,100),"")</f>
        <v/>
      </c>
      <c r="B165" t="str">
        <f>IF(A165="","",(VLOOKUP(A165,'Order Sheet'!A:B,2,FALSE)))</f>
        <v/>
      </c>
      <c r="C165" t="str">
        <f>IF(A165="","",(VLOOKUP(A165,'Order Sheet'!A:C,3,FALSE)))</f>
        <v/>
      </c>
      <c r="D165" t="str">
        <f>IF(A165="","",(VLOOKUP(A165,'Order Sheet'!A:E,5,FALSE)))</f>
        <v/>
      </c>
    </row>
    <row r="166" spans="1:4" x14ac:dyDescent="0.25">
      <c r="A166" t="str">
        <f>IFERROR(SMALL('Order Sheet'!A:A,100),"")</f>
        <v/>
      </c>
      <c r="B166" t="str">
        <f>IF(A166="","",(VLOOKUP(A166,'Order Sheet'!A:B,2,FALSE)))</f>
        <v/>
      </c>
      <c r="C166" t="str">
        <f>IF(A166="","",(VLOOKUP(A166,'Order Sheet'!A:C,3,FALSE)))</f>
        <v/>
      </c>
      <c r="D166" t="str">
        <f>IF(A166="","",(VLOOKUP(A166,'Order Sheet'!A:E,5,FALSE)))</f>
        <v/>
      </c>
    </row>
    <row r="167" spans="1:4" x14ac:dyDescent="0.25">
      <c r="A167" t="str">
        <f>IFERROR(SMALL('Order Sheet'!A:A,100),"")</f>
        <v/>
      </c>
      <c r="B167" t="str">
        <f>IF(A167="","",(VLOOKUP(A167,'Order Sheet'!A:B,2,FALSE)))</f>
        <v/>
      </c>
      <c r="C167" t="str">
        <f>IF(A167="","",(VLOOKUP(A167,'Order Sheet'!A:C,3,FALSE)))</f>
        <v/>
      </c>
      <c r="D167" t="str">
        <f>IF(A167="","",(VLOOKUP(A167,'Order Sheet'!A:E,5,FALSE)))</f>
        <v/>
      </c>
    </row>
    <row r="168" spans="1:4" x14ac:dyDescent="0.25">
      <c r="A168" t="str">
        <f>IFERROR(SMALL('Order Sheet'!A:A,100),"")</f>
        <v/>
      </c>
      <c r="B168" t="str">
        <f>IF(A168="","",(VLOOKUP(A168,'Order Sheet'!A:B,2,FALSE)))</f>
        <v/>
      </c>
      <c r="C168" t="str">
        <f>IF(A168="","",(VLOOKUP(A168,'Order Sheet'!A:C,3,FALSE)))</f>
        <v/>
      </c>
      <c r="D168" t="str">
        <f>IF(A168="","",(VLOOKUP(A168,'Order Sheet'!A:E,5,FALSE)))</f>
        <v/>
      </c>
    </row>
    <row r="169" spans="1:4" x14ac:dyDescent="0.25">
      <c r="A169" t="str">
        <f>IFERROR(SMALL('Order Sheet'!A:A,100),"")</f>
        <v/>
      </c>
      <c r="B169" t="str">
        <f>IF(A169="","",(VLOOKUP(A169,'Order Sheet'!A:B,2,FALSE)))</f>
        <v/>
      </c>
      <c r="C169" t="str">
        <f>IF(A169="","",(VLOOKUP(A169,'Order Sheet'!A:C,3,FALSE)))</f>
        <v/>
      </c>
      <c r="D169" t="str">
        <f>IF(A169="","",(VLOOKUP(A169,'Order Sheet'!A:E,5,FALSE)))</f>
        <v/>
      </c>
    </row>
    <row r="170" spans="1:4" x14ac:dyDescent="0.25">
      <c r="A170" t="str">
        <f>IFERROR(SMALL('Order Sheet'!A:A,100),"")</f>
        <v/>
      </c>
      <c r="B170" t="str">
        <f>IF(A170="","",(VLOOKUP(A170,'Order Sheet'!A:B,2,FALSE)))</f>
        <v/>
      </c>
      <c r="C170" t="str">
        <f>IF(A170="","",(VLOOKUP(A170,'Order Sheet'!A:C,3,FALSE)))</f>
        <v/>
      </c>
      <c r="D170" t="str">
        <f>IF(A170="","",(VLOOKUP(A170,'Order Sheet'!A:E,5,FALSE)))</f>
        <v/>
      </c>
    </row>
    <row r="171" spans="1:4" x14ac:dyDescent="0.25">
      <c r="A171" t="str">
        <f>IFERROR(SMALL('Order Sheet'!A:A,100),"")</f>
        <v/>
      </c>
      <c r="B171" t="str">
        <f>IF(A171="","",(VLOOKUP(A171,'Order Sheet'!A:B,2,FALSE)))</f>
        <v/>
      </c>
      <c r="C171" t="str">
        <f>IF(A171="","",(VLOOKUP(A171,'Order Sheet'!A:C,3,FALSE)))</f>
        <v/>
      </c>
      <c r="D171" t="str">
        <f>IF(A171="","",(VLOOKUP(A171,'Order Sheet'!A:E,5,FALSE)))</f>
        <v/>
      </c>
    </row>
    <row r="172" spans="1:4" x14ac:dyDescent="0.25">
      <c r="A172" t="str">
        <f>IFERROR(SMALL('Order Sheet'!A:A,100),"")</f>
        <v/>
      </c>
      <c r="B172" t="str">
        <f>IF(A172="","",(VLOOKUP(A172,'Order Sheet'!A:B,2,FALSE)))</f>
        <v/>
      </c>
      <c r="C172" t="str">
        <f>IF(A172="","",(VLOOKUP(A172,'Order Sheet'!A:C,3,FALSE)))</f>
        <v/>
      </c>
      <c r="D172" t="str">
        <f>IF(A172="","",(VLOOKUP(A172,'Order Sheet'!A:E,5,FALSE)))</f>
        <v/>
      </c>
    </row>
    <row r="173" spans="1:4" x14ac:dyDescent="0.25">
      <c r="A173" t="str">
        <f>IFERROR(SMALL('Order Sheet'!A:A,100),"")</f>
        <v/>
      </c>
      <c r="B173" t="str">
        <f>IF(A173="","",(VLOOKUP(A173,'Order Sheet'!A:B,2,FALSE)))</f>
        <v/>
      </c>
      <c r="C173" t="str">
        <f>IF(A173="","",(VLOOKUP(A173,'Order Sheet'!A:C,3,FALSE)))</f>
        <v/>
      </c>
      <c r="D173" t="str">
        <f>IF(A173="","",(VLOOKUP(A173,'Order Sheet'!A:E,5,FALSE)))</f>
        <v/>
      </c>
    </row>
    <row r="174" spans="1:4" x14ac:dyDescent="0.25">
      <c r="A174" t="str">
        <f>IFERROR(SMALL('Order Sheet'!A:A,100),"")</f>
        <v/>
      </c>
      <c r="B174" t="str">
        <f>IF(A174="","",(VLOOKUP(A174,'Order Sheet'!A:B,2,FALSE)))</f>
        <v/>
      </c>
      <c r="C174" t="str">
        <f>IF(A174="","",(VLOOKUP(A174,'Order Sheet'!A:C,3,FALSE)))</f>
        <v/>
      </c>
      <c r="D174" t="str">
        <f>IF(A174="","",(VLOOKUP(A174,'Order Sheet'!A:E,5,FALSE)))</f>
        <v/>
      </c>
    </row>
    <row r="175" spans="1:4" x14ac:dyDescent="0.25">
      <c r="A175" t="str">
        <f>IFERROR(SMALL('Order Sheet'!A:A,100),"")</f>
        <v/>
      </c>
      <c r="B175" t="str">
        <f>IF(A175="","",(VLOOKUP(A175,'Order Sheet'!A:B,2,FALSE)))</f>
        <v/>
      </c>
      <c r="C175" t="str">
        <f>IF(A175="","",(VLOOKUP(A175,'Order Sheet'!A:C,3,FALSE)))</f>
        <v/>
      </c>
      <c r="D175" t="str">
        <f>IF(A175="","",(VLOOKUP(A175,'Order Sheet'!A:E,5,FALSE)))</f>
        <v/>
      </c>
    </row>
    <row r="176" spans="1:4" x14ac:dyDescent="0.25">
      <c r="A176" t="str">
        <f>IFERROR(SMALL('Order Sheet'!A:A,100),"")</f>
        <v/>
      </c>
      <c r="B176" t="str">
        <f>IF(A176="","",(VLOOKUP(A176,'Order Sheet'!A:B,2,FALSE)))</f>
        <v/>
      </c>
      <c r="C176" t="str">
        <f>IF(A176="","",(VLOOKUP(A176,'Order Sheet'!A:C,3,FALSE)))</f>
        <v/>
      </c>
      <c r="D176" t="str">
        <f>IF(A176="","",(VLOOKUP(A176,'Order Sheet'!A:E,5,FALSE)))</f>
        <v/>
      </c>
    </row>
    <row r="177" spans="1:4" x14ac:dyDescent="0.25">
      <c r="A177" t="str">
        <f>IFERROR(SMALL('Order Sheet'!A:A,100),"")</f>
        <v/>
      </c>
      <c r="B177" t="str">
        <f>IF(A177="","",(VLOOKUP(A177,'Order Sheet'!A:B,2,FALSE)))</f>
        <v/>
      </c>
      <c r="C177" t="str">
        <f>IF(A177="","",(VLOOKUP(A177,'Order Sheet'!A:C,3,FALSE)))</f>
        <v/>
      </c>
      <c r="D177" t="str">
        <f>IF(A177="","",(VLOOKUP(A177,'Order Sheet'!A:E,5,FALSE)))</f>
        <v/>
      </c>
    </row>
    <row r="178" spans="1:4" x14ac:dyDescent="0.25">
      <c r="A178" t="str">
        <f>IFERROR(SMALL('Order Sheet'!A:A,100),"")</f>
        <v/>
      </c>
      <c r="B178" t="str">
        <f>IF(A178="","",(VLOOKUP(A178,'Order Sheet'!A:B,2,FALSE)))</f>
        <v/>
      </c>
      <c r="C178" t="str">
        <f>IF(A178="","",(VLOOKUP(A178,'Order Sheet'!A:C,3,FALSE)))</f>
        <v/>
      </c>
      <c r="D178" t="str">
        <f>IF(A178="","",(VLOOKUP(A178,'Order Sheet'!A:E,5,FALSE)))</f>
        <v/>
      </c>
    </row>
    <row r="179" spans="1:4" x14ac:dyDescent="0.25">
      <c r="A179" t="str">
        <f>IFERROR(SMALL('Order Sheet'!A:A,100),"")</f>
        <v/>
      </c>
      <c r="B179" t="str">
        <f>IF(A179="","",(VLOOKUP(A179,'Order Sheet'!A:B,2,FALSE)))</f>
        <v/>
      </c>
      <c r="C179" t="str">
        <f>IF(A179="","",(VLOOKUP(A179,'Order Sheet'!A:C,3,FALSE)))</f>
        <v/>
      </c>
      <c r="D179" t="str">
        <f>IF(A179="","",(VLOOKUP(A179,'Order Sheet'!A:E,5,FALSE)))</f>
        <v/>
      </c>
    </row>
    <row r="180" spans="1:4" x14ac:dyDescent="0.25">
      <c r="A180" t="str">
        <f>IFERROR(SMALL('Order Sheet'!A:A,100),"")</f>
        <v/>
      </c>
      <c r="B180" t="str">
        <f>IF(A180="","",(VLOOKUP(A180,'Order Sheet'!A:B,2,FALSE)))</f>
        <v/>
      </c>
      <c r="C180" t="str">
        <f>IF(A180="","",(VLOOKUP(A180,'Order Sheet'!A:C,3,FALSE)))</f>
        <v/>
      </c>
      <c r="D180" t="str">
        <f>IF(A180="","",(VLOOKUP(A180,'Order Sheet'!A:E,5,FALSE)))</f>
        <v/>
      </c>
    </row>
    <row r="181" spans="1:4" x14ac:dyDescent="0.25">
      <c r="A181" t="str">
        <f>IFERROR(SMALL('Order Sheet'!A:A,100),"")</f>
        <v/>
      </c>
      <c r="B181" t="str">
        <f>IF(A181="","",(VLOOKUP(A181,'Order Sheet'!A:B,2,FALSE)))</f>
        <v/>
      </c>
      <c r="C181" t="str">
        <f>IF(A181="","",(VLOOKUP(A181,'Order Sheet'!A:C,3,FALSE)))</f>
        <v/>
      </c>
      <c r="D181" t="str">
        <f>IF(A181="","",(VLOOKUP(A181,'Order Sheet'!A:E,5,FALSE)))</f>
        <v/>
      </c>
    </row>
    <row r="182" spans="1:4" x14ac:dyDescent="0.25">
      <c r="A182" t="str">
        <f>IFERROR(SMALL('Order Sheet'!A:A,100),"")</f>
        <v/>
      </c>
      <c r="B182" t="str">
        <f>IF(A182="","",(VLOOKUP(A182,'Order Sheet'!A:B,2,FALSE)))</f>
        <v/>
      </c>
      <c r="C182" t="str">
        <f>IF(A182="","",(VLOOKUP(A182,'Order Sheet'!A:C,3,FALSE)))</f>
        <v/>
      </c>
      <c r="D182" t="str">
        <f>IF(A182="","",(VLOOKUP(A182,'Order Sheet'!A:E,5,FALSE)))</f>
        <v/>
      </c>
    </row>
    <row r="183" spans="1:4" x14ac:dyDescent="0.25">
      <c r="A183" t="str">
        <f>IFERROR(SMALL('Order Sheet'!A:A,100),"")</f>
        <v/>
      </c>
      <c r="B183" t="str">
        <f>IF(A183="","",(VLOOKUP(A183,'Order Sheet'!A:B,2,FALSE)))</f>
        <v/>
      </c>
      <c r="C183" t="str">
        <f>IF(A183="","",(VLOOKUP(A183,'Order Sheet'!A:C,3,FALSE)))</f>
        <v/>
      </c>
      <c r="D183" t="str">
        <f>IF(A183="","",(VLOOKUP(A183,'Order Sheet'!A:E,5,FALSE)))</f>
        <v/>
      </c>
    </row>
    <row r="184" spans="1:4" x14ac:dyDescent="0.25">
      <c r="A184" t="str">
        <f>IFERROR(SMALL('Order Sheet'!A:A,100),"")</f>
        <v/>
      </c>
      <c r="B184" t="str">
        <f>IF(A184="","",(VLOOKUP(A184,'Order Sheet'!A:B,2,FALSE)))</f>
        <v/>
      </c>
      <c r="C184" t="str">
        <f>IF(A184="","",(VLOOKUP(A184,'Order Sheet'!A:C,3,FALSE)))</f>
        <v/>
      </c>
      <c r="D184" t="str">
        <f>IF(A184="","",(VLOOKUP(A184,'Order Sheet'!A:E,5,FALSE)))</f>
        <v/>
      </c>
    </row>
    <row r="185" spans="1:4" x14ac:dyDescent="0.25">
      <c r="A185" t="str">
        <f>IFERROR(SMALL('Order Sheet'!A:A,100),"")</f>
        <v/>
      </c>
      <c r="B185" t="str">
        <f>IF(A185="","",(VLOOKUP(A185,'Order Sheet'!A:B,2,FALSE)))</f>
        <v/>
      </c>
      <c r="C185" t="str">
        <f>IF(A185="","",(VLOOKUP(A185,'Order Sheet'!A:C,3,FALSE)))</f>
        <v/>
      </c>
      <c r="D185" t="str">
        <f>IF(A185="","",(VLOOKUP(A185,'Order Sheet'!A:E,5,FALSE)))</f>
        <v/>
      </c>
    </row>
    <row r="186" spans="1:4" x14ac:dyDescent="0.25">
      <c r="A186" t="str">
        <f>IFERROR(SMALL('Order Sheet'!A:A,100),"")</f>
        <v/>
      </c>
      <c r="B186" t="str">
        <f>IF(A186="","",(VLOOKUP(A186,'Order Sheet'!A:B,2,FALSE)))</f>
        <v/>
      </c>
      <c r="C186" t="str">
        <f>IF(A186="","",(VLOOKUP(A186,'Order Sheet'!A:C,3,FALSE)))</f>
        <v/>
      </c>
      <c r="D186" t="str">
        <f>IF(A186="","",(VLOOKUP(A186,'Order Sheet'!A:E,5,FALSE)))</f>
        <v/>
      </c>
    </row>
    <row r="187" spans="1:4" x14ac:dyDescent="0.25">
      <c r="A187" t="str">
        <f>IFERROR(SMALL('Order Sheet'!A:A,100),"")</f>
        <v/>
      </c>
      <c r="B187" t="str">
        <f>IF(A187="","",(VLOOKUP(A187,'Order Sheet'!A:B,2,FALSE)))</f>
        <v/>
      </c>
      <c r="C187" t="str">
        <f>IF(A187="","",(VLOOKUP(A187,'Order Sheet'!A:C,3,FALSE)))</f>
        <v/>
      </c>
      <c r="D187" t="str">
        <f>IF(A187="","",(VLOOKUP(A187,'Order Sheet'!A:E,5,FALSE)))</f>
        <v/>
      </c>
    </row>
    <row r="188" spans="1:4" x14ac:dyDescent="0.25">
      <c r="A188" t="str">
        <f>IFERROR(SMALL('Order Sheet'!A:A,100),"")</f>
        <v/>
      </c>
      <c r="B188" t="str">
        <f>IF(A188="","",(VLOOKUP(A188,'Order Sheet'!A:B,2,FALSE)))</f>
        <v/>
      </c>
      <c r="C188" t="str">
        <f>IF(A188="","",(VLOOKUP(A188,'Order Sheet'!A:C,3,FALSE)))</f>
        <v/>
      </c>
      <c r="D188" t="str">
        <f>IF(A188="","",(VLOOKUP(A188,'Order Sheet'!A:E,5,FALSE)))</f>
        <v/>
      </c>
    </row>
    <row r="189" spans="1:4" x14ac:dyDescent="0.25">
      <c r="A189" t="str">
        <f>IFERROR(SMALL('Order Sheet'!A:A,100),"")</f>
        <v/>
      </c>
      <c r="B189" t="str">
        <f>IF(A189="","",(VLOOKUP(A189,'Order Sheet'!A:B,2,FALSE)))</f>
        <v/>
      </c>
      <c r="C189" t="str">
        <f>IF(A189="","",(VLOOKUP(A189,'Order Sheet'!A:C,3,FALSE)))</f>
        <v/>
      </c>
      <c r="D189" t="str">
        <f>IF(A189="","",(VLOOKUP(A189,'Order Sheet'!A:E,5,FALSE)))</f>
        <v/>
      </c>
    </row>
    <row r="190" spans="1:4" x14ac:dyDescent="0.25">
      <c r="A190" t="str">
        <f>IFERROR(SMALL('Order Sheet'!A:A,100),"")</f>
        <v/>
      </c>
      <c r="B190" t="str">
        <f>IF(A190="","",(VLOOKUP(A190,'Order Sheet'!A:B,2,FALSE)))</f>
        <v/>
      </c>
      <c r="C190" t="str">
        <f>IF(A190="","",(VLOOKUP(A190,'Order Sheet'!A:C,3,FALSE)))</f>
        <v/>
      </c>
      <c r="D190" t="str">
        <f>IF(A190="","",(VLOOKUP(A190,'Order Sheet'!A:E,5,FALSE)))</f>
        <v/>
      </c>
    </row>
    <row r="191" spans="1:4" x14ac:dyDescent="0.25">
      <c r="A191" t="str">
        <f>IFERROR(SMALL('Order Sheet'!A:A,100),"")</f>
        <v/>
      </c>
      <c r="B191" t="str">
        <f>IF(A191="","",(VLOOKUP(A191,'Order Sheet'!A:B,2,FALSE)))</f>
        <v/>
      </c>
      <c r="C191" t="str">
        <f>IF(A191="","",(VLOOKUP(A191,'Order Sheet'!A:C,3,FALSE)))</f>
        <v/>
      </c>
      <c r="D191" t="str">
        <f>IF(A191="","",(VLOOKUP(A191,'Order Sheet'!A:E,5,FALSE)))</f>
        <v/>
      </c>
    </row>
    <row r="192" spans="1:4" x14ac:dyDescent="0.25">
      <c r="A192" t="str">
        <f>IFERROR(SMALL('Order Sheet'!A:A,100),"")</f>
        <v/>
      </c>
      <c r="B192" t="str">
        <f>IF(A192="","",(VLOOKUP(A192,'Order Sheet'!A:B,2,FALSE)))</f>
        <v/>
      </c>
      <c r="C192" t="str">
        <f>IF(A192="","",(VLOOKUP(A192,'Order Sheet'!A:C,3,FALSE)))</f>
        <v/>
      </c>
      <c r="D192" t="str">
        <f>IF(A192="","",(VLOOKUP(A192,'Order Sheet'!A:E,5,FALSE)))</f>
        <v/>
      </c>
    </row>
    <row r="193" spans="1:4" x14ac:dyDescent="0.25">
      <c r="A193" t="str">
        <f>IFERROR(SMALL('Order Sheet'!A:A,100),"")</f>
        <v/>
      </c>
      <c r="B193" t="str">
        <f>IF(A193="","",(VLOOKUP(A193,'Order Sheet'!A:B,2,FALSE)))</f>
        <v/>
      </c>
      <c r="C193" t="str">
        <f>IF(A193="","",(VLOOKUP(A193,'Order Sheet'!A:C,3,FALSE)))</f>
        <v/>
      </c>
      <c r="D193" t="str">
        <f>IF(A193="","",(VLOOKUP(A193,'Order Sheet'!A:E,5,FALSE)))</f>
        <v/>
      </c>
    </row>
    <row r="194" spans="1:4" x14ac:dyDescent="0.25">
      <c r="A194" t="str">
        <f>IFERROR(SMALL('Order Sheet'!A:A,100),"")</f>
        <v/>
      </c>
      <c r="B194" t="str">
        <f>IF(A194="","",(VLOOKUP(A194,'Order Sheet'!A:B,2,FALSE)))</f>
        <v/>
      </c>
      <c r="C194" t="str">
        <f>IF(A194="","",(VLOOKUP(A194,'Order Sheet'!A:C,3,FALSE)))</f>
        <v/>
      </c>
      <c r="D194" t="str">
        <f>IF(A194="","",(VLOOKUP(A194,'Order Sheet'!A:E,5,FALSE)))</f>
        <v/>
      </c>
    </row>
    <row r="195" spans="1:4" x14ac:dyDescent="0.25">
      <c r="A195" t="str">
        <f>IFERROR(SMALL('Order Sheet'!A:A,100),"")</f>
        <v/>
      </c>
      <c r="B195" t="str">
        <f>IF(A195="","",(VLOOKUP(A195,'Order Sheet'!A:B,2,FALSE)))</f>
        <v/>
      </c>
      <c r="C195" t="str">
        <f>IF(A195="","",(VLOOKUP(A195,'Order Sheet'!A:C,3,FALSE)))</f>
        <v/>
      </c>
      <c r="D195" t="str">
        <f>IF(A195="","",(VLOOKUP(A195,'Order Sheet'!A:E,5,FALSE)))</f>
        <v/>
      </c>
    </row>
    <row r="196" spans="1:4" x14ac:dyDescent="0.25">
      <c r="A196" t="str">
        <f>IFERROR(SMALL('Order Sheet'!A:A,100),"")</f>
        <v/>
      </c>
      <c r="B196" t="str">
        <f>IF(A196="","",(VLOOKUP(A196,'Order Sheet'!A:B,2,FALSE)))</f>
        <v/>
      </c>
      <c r="C196" t="str">
        <f>IF(A196="","",(VLOOKUP(A196,'Order Sheet'!A:C,3,FALSE)))</f>
        <v/>
      </c>
      <c r="D196" t="str">
        <f>IF(A196="","",(VLOOKUP(A196,'Order Sheet'!A:E,5,FALSE)))</f>
        <v/>
      </c>
    </row>
    <row r="197" spans="1:4" x14ac:dyDescent="0.25">
      <c r="A197" t="str">
        <f>IFERROR(SMALL('Order Sheet'!A:A,100),"")</f>
        <v/>
      </c>
      <c r="B197" t="str">
        <f>IF(A197="","",(VLOOKUP(A197,'Order Sheet'!A:B,2,FALSE)))</f>
        <v/>
      </c>
      <c r="C197" t="str">
        <f>IF(A197="","",(VLOOKUP(A197,'Order Sheet'!A:C,3,FALSE)))</f>
        <v/>
      </c>
      <c r="D197" t="str">
        <f>IF(A197="","",(VLOOKUP(A197,'Order Sheet'!A:E,5,FALSE)))</f>
        <v/>
      </c>
    </row>
    <row r="198" spans="1:4" x14ac:dyDescent="0.25">
      <c r="A198" t="str">
        <f>IFERROR(SMALL('Order Sheet'!A:A,100),"")</f>
        <v/>
      </c>
      <c r="B198" t="str">
        <f>IF(A198="","",(VLOOKUP(A198,'Order Sheet'!A:B,2,FALSE)))</f>
        <v/>
      </c>
      <c r="C198" t="str">
        <f>IF(A198="","",(VLOOKUP(A198,'Order Sheet'!A:C,3,FALSE)))</f>
        <v/>
      </c>
      <c r="D198" t="str">
        <f>IF(A198="","",(VLOOKUP(A198,'Order Sheet'!A:E,5,FALSE)))</f>
        <v/>
      </c>
    </row>
    <row r="199" spans="1:4" x14ac:dyDescent="0.25">
      <c r="A199" t="str">
        <f>IFERROR(SMALL('Order Sheet'!A:A,100),"")</f>
        <v/>
      </c>
      <c r="B199" t="str">
        <f>IF(A199="","",(VLOOKUP(A199,'Order Sheet'!A:B,2,FALSE)))</f>
        <v/>
      </c>
      <c r="C199" t="str">
        <f>IF(A199="","",(VLOOKUP(A199,'Order Sheet'!A:C,3,FALSE)))</f>
        <v/>
      </c>
      <c r="D199" t="str">
        <f>IF(A199="","",(VLOOKUP(A199,'Order Sheet'!A:E,5,FALSE)))</f>
        <v/>
      </c>
    </row>
    <row r="200" spans="1:4" x14ac:dyDescent="0.25">
      <c r="A200" t="str">
        <f>IFERROR(SMALL('Order Sheet'!A:A,100),"")</f>
        <v/>
      </c>
      <c r="B200" t="str">
        <f>IF(A200="","",(VLOOKUP(A200,'Order Sheet'!A:B,2,FALSE)))</f>
        <v/>
      </c>
      <c r="C200" t="str">
        <f>IF(A200="","",(VLOOKUP(A200,'Order Sheet'!A:C,3,FALSE)))</f>
        <v/>
      </c>
      <c r="D200" t="str">
        <f>IF(A200="","",(VLOOKUP(A200,'Order Sheet'!A:E,5,FALSE)))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111</vt:i4>
      </vt:variant>
    </vt:vector>
  </HeadingPairs>
  <TitlesOfParts>
    <vt:vector size="115" baseType="lpstr">
      <vt:lpstr>Sheet1</vt:lpstr>
      <vt:lpstr>Order Sheet</vt:lpstr>
      <vt:lpstr>Product List</vt:lpstr>
      <vt:lpstr>Worksheet</vt:lpstr>
      <vt:lpstr>AGSMS</vt:lpstr>
      <vt:lpstr>AMWTH</vt:lpstr>
      <vt:lpstr>APTOS</vt:lpstr>
      <vt:lpstr>ARL</vt:lpstr>
      <vt:lpstr>AZTCW</vt:lpstr>
      <vt:lpstr>BLINE</vt:lpstr>
      <vt:lpstr>BPT</vt:lpstr>
      <vt:lpstr>BUR</vt:lpstr>
      <vt:lpstr>BUSS</vt:lpstr>
      <vt:lpstr>CASOL</vt:lpstr>
      <vt:lpstr>CHEML</vt:lpstr>
      <vt:lpstr>Code</vt:lpstr>
      <vt:lpstr>COND</vt:lpstr>
      <vt:lpstr>CONDR</vt:lpstr>
      <vt:lpstr>CORRUBRACKET</vt:lpstr>
      <vt:lpstr>CPAWS</vt:lpstr>
      <vt:lpstr>CTEED</vt:lpstr>
      <vt:lpstr>CULLY</vt:lpstr>
      <vt:lpstr>DIXTI</vt:lpstr>
      <vt:lpstr>DOT</vt:lpstr>
      <vt:lpstr>EATON</vt:lpstr>
      <vt:lpstr>ECOBE</vt:lpstr>
      <vt:lpstr>ECOSO</vt:lpstr>
      <vt:lpstr>EDF</vt:lpstr>
      <vt:lpstr>ENP</vt:lpstr>
      <vt:lpstr>EVRST</vt:lpstr>
      <vt:lpstr>EZSLR</vt:lpstr>
      <vt:lpstr>FAST</vt:lpstr>
      <vt:lpstr>FLEX</vt:lpstr>
      <vt:lpstr>FRANK</vt:lpstr>
      <vt:lpstr>G10.C__415W_BLK_132C_32MM__32</vt:lpstr>
      <vt:lpstr>GALV</vt:lpstr>
      <vt:lpstr>GED</vt:lpstr>
      <vt:lpstr>GENRC</vt:lpstr>
      <vt:lpstr>GEOC</vt:lpstr>
      <vt:lpstr>GREAV</vt:lpstr>
      <vt:lpstr>HEYCO</vt:lpstr>
      <vt:lpstr>HYUND</vt:lpstr>
      <vt:lpstr>IDEAL</vt:lpstr>
      <vt:lpstr>ILSCO</vt:lpstr>
      <vt:lpstr>IMO</vt:lpstr>
      <vt:lpstr>IRIDG</vt:lpstr>
      <vt:lpstr>JASOL</vt:lpstr>
      <vt:lpstr>JINKO</vt:lpstr>
      <vt:lpstr>KLEIN</vt:lpstr>
      <vt:lpstr>LF</vt:lpstr>
      <vt:lpstr>LFUSE</vt:lpstr>
      <vt:lpstr>LGCHE</vt:lpstr>
      <vt:lpstr>LGSOL</vt:lpstr>
      <vt:lpstr>LITHN</vt:lpstr>
      <vt:lpstr>LONGI</vt:lpstr>
      <vt:lpstr>LUMI</vt:lpstr>
      <vt:lpstr>MAXON</vt:lpstr>
      <vt:lpstr>MERSN</vt:lpstr>
      <vt:lpstr>MIL</vt:lpstr>
      <vt:lpstr>MILW</vt:lpstr>
      <vt:lpstr>MISC.</vt:lpstr>
      <vt:lpstr>MISIO</vt:lpstr>
      <vt:lpstr>MITRX</vt:lpstr>
      <vt:lpstr>MULTI</vt:lpstr>
      <vt:lpstr>NEP</vt:lpstr>
      <vt:lpstr>NSI</vt:lpstr>
      <vt:lpstr>OMGIN</vt:lpstr>
      <vt:lpstr>PANAS</vt:lpstr>
      <vt:lpstr>PECO</vt:lpstr>
      <vt:lpstr>PHIONO</vt:lpstr>
      <vt:lpstr>PRIOR</vt:lpstr>
      <vt:lpstr>PVC</vt:lpstr>
      <vt:lpstr>PVLBL</vt:lpstr>
      <vt:lpstr>Q.PEAK_DUO_BLK_ML_G10.C__415</vt:lpstr>
      <vt:lpstr>QCELL</vt:lpstr>
      <vt:lpstr>RECSO</vt:lpstr>
      <vt:lpstr>RFTCH</vt:lpstr>
      <vt:lpstr>S4A</vt:lpstr>
      <vt:lpstr>S5_</vt:lpstr>
      <vt:lpstr>SATIC</vt:lpstr>
      <vt:lpstr>SCHSO</vt:lpstr>
      <vt:lpstr>SENSE</vt:lpstr>
      <vt:lpstr>SIEM</vt:lpstr>
      <vt:lpstr>SILFB</vt:lpstr>
      <vt:lpstr>SMA</vt:lpstr>
      <vt:lpstr>SNRAC</vt:lpstr>
      <vt:lpstr>SOLAD</vt:lpstr>
      <vt:lpstr>SOLAK</vt:lpstr>
      <vt:lpstr>SOLEC</vt:lpstr>
      <vt:lpstr>SOLED</vt:lpstr>
      <vt:lpstr>SOLIA</vt:lpstr>
      <vt:lpstr>SOLTC</vt:lpstr>
      <vt:lpstr>SPAN</vt:lpstr>
      <vt:lpstr>SQD</vt:lpstr>
      <vt:lpstr>STACK</vt:lpstr>
      <vt:lpstr>STORZ</vt:lpstr>
      <vt:lpstr>SUNGR</vt:lpstr>
      <vt:lpstr>SUNMO</vt:lpstr>
      <vt:lpstr>SWIRE</vt:lpstr>
      <vt:lpstr>TB</vt:lpstr>
      <vt:lpstr>TIGO</vt:lpstr>
      <vt:lpstr>TRINA</vt:lpstr>
      <vt:lpstr>TYTON</vt:lpstr>
      <vt:lpstr>ULINE</vt:lpstr>
      <vt:lpstr>UNIRC</vt:lpstr>
      <vt:lpstr>URECO</vt:lpstr>
      <vt:lpstr>VSUN</vt:lpstr>
      <vt:lpstr>WAGO</vt:lpstr>
      <vt:lpstr>WALBX</vt:lpstr>
      <vt:lpstr>WD40_</vt:lpstr>
      <vt:lpstr>WEST</vt:lpstr>
      <vt:lpstr>WILY</vt:lpstr>
      <vt:lpstr>WIRE</vt:lpstr>
      <vt:lpstr>WIRPV</vt:lpstr>
      <vt:lpstr>ZILLC</vt:lpstr>
    </vt:vector>
  </TitlesOfParts>
  <Company>CED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Val Martin</cp:lastModifiedBy>
  <dcterms:created xsi:type="dcterms:W3CDTF">2020-11-25T21:05:32Z</dcterms:created>
  <dcterms:modified xsi:type="dcterms:W3CDTF">2026-03-24T17:28:04Z</dcterms:modified>
</cp:coreProperties>
</file>